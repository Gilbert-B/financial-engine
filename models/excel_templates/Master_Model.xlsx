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lB\biz360-financial-engine\models\excel_templates\"/>
    </mc:Choice>
  </mc:AlternateContent>
  <xr:revisionPtr revIDLastSave="0" documentId="13_ncr:1_{6FAE48FA-ECD2-437B-9461-3C775132E1CC}" xr6:coauthVersionLast="36" xr6:coauthVersionMax="36" xr10:uidLastSave="{00000000-0000-0000-0000-000000000000}"/>
  <bookViews>
    <workbookView xWindow="0" yWindow="0" windowWidth="12770" windowHeight="5370" activeTab="3" xr2:uid="{9EC26A37-0193-48B8-A992-2D726D89CA65}"/>
  </bookViews>
  <sheets>
    <sheet name="CALCS_TrialBalance" sheetId="2" r:id="rId1"/>
    <sheet name="DATA_SQL" sheetId="1" r:id="rId2"/>
    <sheet name="OUTPUT_IS" sheetId="3" r:id="rId3"/>
    <sheet name="OUTPUT_BS" sheetId="4" r:id="rId4"/>
  </sheets>
  <definedNames>
    <definedName name="View_Financial_Model_Source" localSheetId="1" hidden="1">DATA_SQL!$A$1:$G$1001</definedName>
  </definedNames>
  <calcPr calcId="191029"/>
  <pivotCaches>
    <pivotCache cacheId="0" r:id="rId5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iew_Financial_Model_Source_2e9ef7b0-3a1b-467e-b673-391a6515a7a9" name="View_Financial_Model_Source" connection="Financial_Model"/>
        </x15:modelTables>
      </x15:dataModel>
    </ext>
  </extLst>
</workbook>
</file>

<file path=xl/calcChain.xml><?xml version="1.0" encoding="utf-8"?>
<calcChain xmlns="http://schemas.openxmlformats.org/spreadsheetml/2006/main">
  <c r="C21" i="4" l="1"/>
  <c r="C19" i="4"/>
  <c r="C18" i="4"/>
  <c r="C13" i="4"/>
  <c r="C17" i="4"/>
  <c r="C9" i="4"/>
  <c r="C12" i="4"/>
  <c r="G1003" i="1" l="1"/>
  <c r="C9" i="3"/>
  <c r="C8" i="4"/>
  <c r="C7" i="4"/>
  <c r="C6" i="4"/>
  <c r="C8" i="3"/>
  <c r="C10" i="3"/>
  <c r="C6" i="3"/>
  <c r="C7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DB0D0A-E615-4066-96F1-D79C3B1228C2}" odcFile="C:\Users\GilB\OneDrive\Documents\My Data Sources\GILB-PREDATOR Financial_DB View_Financial_Model_Source.odc" name="Financial_Model" description="View With Financial Transactions" type="100" refreshedVersion="6" minRefreshableVersion="5">
    <extLst>
      <ext xmlns:x15="http://schemas.microsoft.com/office/spreadsheetml/2010/11/main" uri="{DE250136-89BD-433C-8126-D09CA5730AF9}">
        <x15:connection id="a949f503-5ee9-4a55-b7cf-d13318cbe7a4" autoDelete="1"/>
      </ext>
    </extLst>
  </connection>
  <connection id="2" xr16:uid="{356612F8-6D43-4BD2-811F-0D9A45B62394}" keepAlive="1" name="ModelConnection_View_Financial_Model_Source" description="Data Model" type="5" refreshedVersion="6" minRefreshableVersion="5" saveData="1">
    <dbPr connection="Data Model Connection" command="View_Financial_Model_Source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FBF1EC14-6E04-450E-9D3D-2AD7FA26A32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<sst xmlns="http://schemas.openxmlformats.org/spreadsheetml/2006/main" count="6037" uniqueCount="817">
  <si>
    <t>TransactionID</t>
  </si>
  <si>
    <t>TransactionDate</t>
  </si>
  <si>
    <t>AccountCode</t>
  </si>
  <si>
    <t>AccountName</t>
  </si>
  <si>
    <t>AccountType</t>
  </si>
  <si>
    <t>FinancialStatement</t>
  </si>
  <si>
    <t>AmountGHS</t>
  </si>
  <si>
    <t>TRX-1001</t>
  </si>
  <si>
    <t>2024-05-29</t>
  </si>
  <si>
    <t>1100</t>
  </si>
  <si>
    <t>Accounts Receivable</t>
  </si>
  <si>
    <t>Asset</t>
  </si>
  <si>
    <t>Balance Sheet</t>
  </si>
  <si>
    <t>TRX-1003</t>
  </si>
  <si>
    <t>2024-08-02</t>
  </si>
  <si>
    <t>TRX-1004</t>
  </si>
  <si>
    <t>2024-02-13</t>
  </si>
  <si>
    <t>TRX-1016</t>
  </si>
  <si>
    <t>2024-01-01</t>
  </si>
  <si>
    <t>TRX-1021</t>
  </si>
  <si>
    <t>2024-04-07</t>
  </si>
  <si>
    <t>TRX-1022</t>
  </si>
  <si>
    <t>2024-09-20</t>
  </si>
  <si>
    <t>TRX-1023</t>
  </si>
  <si>
    <t>2024-02-15</t>
  </si>
  <si>
    <t>TRX-1026</t>
  </si>
  <si>
    <t>2024-06-09</t>
  </si>
  <si>
    <t>TRX-1027</t>
  </si>
  <si>
    <t>2024-02-10</t>
  </si>
  <si>
    <t>TRX-1029</t>
  </si>
  <si>
    <t>2024-11-15</t>
  </si>
  <si>
    <t>TRX-1036</t>
  </si>
  <si>
    <t>2024-02-11</t>
  </si>
  <si>
    <t>TRX-1038</t>
  </si>
  <si>
    <t>2024-05-20</t>
  </si>
  <si>
    <t>TRX-1040</t>
  </si>
  <si>
    <t>2024-11-26</t>
  </si>
  <si>
    <t>TRX-1043</t>
  </si>
  <si>
    <t>2024-06-13</t>
  </si>
  <si>
    <t>TRX-1044</t>
  </si>
  <si>
    <t>2024-05-17</t>
  </si>
  <si>
    <t>TRX-1048</t>
  </si>
  <si>
    <t>2024-10-20</t>
  </si>
  <si>
    <t>TRX-1049</t>
  </si>
  <si>
    <t>2024-01-28</t>
  </si>
  <si>
    <t>TRX-1058</t>
  </si>
  <si>
    <t>TRX-1063</t>
  </si>
  <si>
    <t>2024-08-10</t>
  </si>
  <si>
    <t>TRX-1066</t>
  </si>
  <si>
    <t>2024-04-05</t>
  </si>
  <si>
    <t>TRX-1067</t>
  </si>
  <si>
    <t>2024-08-28</t>
  </si>
  <si>
    <t>TRX-1069</t>
  </si>
  <si>
    <t>2024-08-27</t>
  </si>
  <si>
    <t>TRX-1070</t>
  </si>
  <si>
    <t>2024-02-14</t>
  </si>
  <si>
    <t>TRX-1072</t>
  </si>
  <si>
    <t>2024-02-07</t>
  </si>
  <si>
    <t>TRX-1075</t>
  </si>
  <si>
    <t>2024-12-29</t>
  </si>
  <si>
    <t>TRX-1076</t>
  </si>
  <si>
    <t>2024-01-26</t>
  </si>
  <si>
    <t>TRX-1084</t>
  </si>
  <si>
    <t>2024-01-23</t>
  </si>
  <si>
    <t>TRX-1090</t>
  </si>
  <si>
    <t>2024-09-13</t>
  </si>
  <si>
    <t>TRX-1094</t>
  </si>
  <si>
    <t>2024-06-03</t>
  </si>
  <si>
    <t>TRX-1095</t>
  </si>
  <si>
    <t>TRX-1096</t>
  </si>
  <si>
    <t>TRX-1097</t>
  </si>
  <si>
    <t>2024-01-30</t>
  </si>
  <si>
    <t>TRX-1098</t>
  </si>
  <si>
    <t>2024-04-01</t>
  </si>
  <si>
    <t>TRX-1099</t>
  </si>
  <si>
    <t>2024-05-07</t>
  </si>
  <si>
    <t>TRX-1100</t>
  </si>
  <si>
    <t>2024-02-18</t>
  </si>
  <si>
    <t>TRX-1101</t>
  </si>
  <si>
    <t>2024-03-28</t>
  </si>
  <si>
    <t>TRX-1104</t>
  </si>
  <si>
    <t>2024-06-14</t>
  </si>
  <si>
    <t>TRX-1105</t>
  </si>
  <si>
    <t>2024-01-12</t>
  </si>
  <si>
    <t>TRX-1107</t>
  </si>
  <si>
    <t>2024-03-29</t>
  </si>
  <si>
    <t>TRX-1108</t>
  </si>
  <si>
    <t>2024-05-10</t>
  </si>
  <si>
    <t>TRX-1109</t>
  </si>
  <si>
    <t>2024-04-28</t>
  </si>
  <si>
    <t>TRX-1110</t>
  </si>
  <si>
    <t>2024-02-08</t>
  </si>
  <si>
    <t>TRX-1111</t>
  </si>
  <si>
    <t>2024-01-14</t>
  </si>
  <si>
    <t>TRX-1113</t>
  </si>
  <si>
    <t>2024-01-27</t>
  </si>
  <si>
    <t>TRX-1114</t>
  </si>
  <si>
    <t>2024-01-03</t>
  </si>
  <si>
    <t>TRX-1115</t>
  </si>
  <si>
    <t>TRX-1116</t>
  </si>
  <si>
    <t>2024-03-14</t>
  </si>
  <si>
    <t>TRX-1117</t>
  </si>
  <si>
    <t>TRX-1125</t>
  </si>
  <si>
    <t>2024-06-15</t>
  </si>
  <si>
    <t>TRX-1129</t>
  </si>
  <si>
    <t>2024-01-16</t>
  </si>
  <si>
    <t>TRX-1132</t>
  </si>
  <si>
    <t>TRX-1134</t>
  </si>
  <si>
    <t>2024-07-15</t>
  </si>
  <si>
    <t>TRX-1135</t>
  </si>
  <si>
    <t>2024-07-01</t>
  </si>
  <si>
    <t>TRX-1143</t>
  </si>
  <si>
    <t>2024-11-16</t>
  </si>
  <si>
    <t>TRX-1144</t>
  </si>
  <si>
    <t>2024-07-03</t>
  </si>
  <si>
    <t>TRX-1147</t>
  </si>
  <si>
    <t>2024-01-31</t>
  </si>
  <si>
    <t>TRX-1149</t>
  </si>
  <si>
    <t>2024-03-31</t>
  </si>
  <si>
    <t>TRX-1150</t>
  </si>
  <si>
    <t>2024-09-07</t>
  </si>
  <si>
    <t>TRX-1151</t>
  </si>
  <si>
    <t>2024-05-08</t>
  </si>
  <si>
    <t>TRX-1159</t>
  </si>
  <si>
    <t>TRX-1160</t>
  </si>
  <si>
    <t>2024-06-10</t>
  </si>
  <si>
    <t>TRX-1169</t>
  </si>
  <si>
    <t>2024-06-16</t>
  </si>
  <si>
    <t>TRX-1173</t>
  </si>
  <si>
    <t>2024-10-01</t>
  </si>
  <si>
    <t>TRX-1174</t>
  </si>
  <si>
    <t>2024-10-04</t>
  </si>
  <si>
    <t>TRX-1175</t>
  </si>
  <si>
    <t>2024-05-15</t>
  </si>
  <si>
    <t>TRX-1182</t>
  </si>
  <si>
    <t>2024-09-17</t>
  </si>
  <si>
    <t>TRX-1183</t>
  </si>
  <si>
    <t>2024-08-04</t>
  </si>
  <si>
    <t>TRX-1186</t>
  </si>
  <si>
    <t>TRX-1193</t>
  </si>
  <si>
    <t>2024-02-02</t>
  </si>
  <si>
    <t>TRX-1196</t>
  </si>
  <si>
    <t>TRX-1205</t>
  </si>
  <si>
    <t>2024-12-23</t>
  </si>
  <si>
    <t>TRX-1209</t>
  </si>
  <si>
    <t>2024-05-27</t>
  </si>
  <si>
    <t>TRX-1210</t>
  </si>
  <si>
    <t>2024-07-22</t>
  </si>
  <si>
    <t>TRX-1212</t>
  </si>
  <si>
    <t>2024-11-19</t>
  </si>
  <si>
    <t>TRX-1216</t>
  </si>
  <si>
    <t>2024-06-07</t>
  </si>
  <si>
    <t>TRX-1218</t>
  </si>
  <si>
    <t>2024-12-04</t>
  </si>
  <si>
    <t>TRX-1219</t>
  </si>
  <si>
    <t>TRX-1222</t>
  </si>
  <si>
    <t>2024-08-16</t>
  </si>
  <si>
    <t>TRX-1226</t>
  </si>
  <si>
    <t>2024-01-24</t>
  </si>
  <si>
    <t>TRX-1227</t>
  </si>
  <si>
    <t>2024-08-18</t>
  </si>
  <si>
    <t>TRX-1236</t>
  </si>
  <si>
    <t>2024-01-10</t>
  </si>
  <si>
    <t>TRX-1239</t>
  </si>
  <si>
    <t>2024-10-14</t>
  </si>
  <si>
    <t>TRX-1244</t>
  </si>
  <si>
    <t>2024-06-02</t>
  </si>
  <si>
    <t>TRX-1245</t>
  </si>
  <si>
    <t>2024-11-24</t>
  </si>
  <si>
    <t>TRX-1246</t>
  </si>
  <si>
    <t>TRX-1250</t>
  </si>
  <si>
    <t>2024-12-16</t>
  </si>
  <si>
    <t>TRX-1262</t>
  </si>
  <si>
    <t>2024-01-18</t>
  </si>
  <si>
    <t>TRX-1270</t>
  </si>
  <si>
    <t>TRX-1271</t>
  </si>
  <si>
    <t>2024-03-15</t>
  </si>
  <si>
    <t>TRX-1274</t>
  </si>
  <si>
    <t>2024-09-18</t>
  </si>
  <si>
    <t>TRX-1282</t>
  </si>
  <si>
    <t>2024-06-27</t>
  </si>
  <si>
    <t>TRX-1288</t>
  </si>
  <si>
    <t>TRX-1290</t>
  </si>
  <si>
    <t>2024-08-06</t>
  </si>
  <si>
    <t>TRX-1291</t>
  </si>
  <si>
    <t>2024-01-02</t>
  </si>
  <si>
    <t>TRX-1292</t>
  </si>
  <si>
    <t>2024-07-26</t>
  </si>
  <si>
    <t>TRX-1295</t>
  </si>
  <si>
    <t>2024-02-12</t>
  </si>
  <si>
    <t>TRX-1297</t>
  </si>
  <si>
    <t>2024-03-25</t>
  </si>
  <si>
    <t>TRX-1298</t>
  </si>
  <si>
    <t>2024-08-11</t>
  </si>
  <si>
    <t>TRX-1299</t>
  </si>
  <si>
    <t>2024-07-20</t>
  </si>
  <si>
    <t>TRX-1305</t>
  </si>
  <si>
    <t>TRX-1306</t>
  </si>
  <si>
    <t>2024-12-31</t>
  </si>
  <si>
    <t>TRX-1308</t>
  </si>
  <si>
    <t>2024-03-21</t>
  </si>
  <si>
    <t>TRX-1309</t>
  </si>
  <si>
    <t>2024-11-12</t>
  </si>
  <si>
    <t>TRX-1310</t>
  </si>
  <si>
    <t>TRX-1311</t>
  </si>
  <si>
    <t>2024-07-23</t>
  </si>
  <si>
    <t>TRX-1316</t>
  </si>
  <si>
    <t>2024-04-30</t>
  </si>
  <si>
    <t>TRX-1317</t>
  </si>
  <si>
    <t>2024-02-04</t>
  </si>
  <si>
    <t>TRX-1320</t>
  </si>
  <si>
    <t>2024-08-25</t>
  </si>
  <si>
    <t>TRX-1324</t>
  </si>
  <si>
    <t>2024-03-20</t>
  </si>
  <si>
    <t>TRX-1325</t>
  </si>
  <si>
    <t>TRX-1327</t>
  </si>
  <si>
    <t>TRX-1329</t>
  </si>
  <si>
    <t>2024-11-02</t>
  </si>
  <si>
    <t>TRX-1330</t>
  </si>
  <si>
    <t>2024-03-01</t>
  </si>
  <si>
    <t>TRX-1332</t>
  </si>
  <si>
    <t>2024-07-14</t>
  </si>
  <si>
    <t>TRX-1338</t>
  </si>
  <si>
    <t>2024-11-04</t>
  </si>
  <si>
    <t>TRX-1339</t>
  </si>
  <si>
    <t>2024-11-27</t>
  </si>
  <si>
    <t>TRX-1340</t>
  </si>
  <si>
    <t>2024-06-04</t>
  </si>
  <si>
    <t>TRX-1344</t>
  </si>
  <si>
    <t>TRX-1345</t>
  </si>
  <si>
    <t>2024-03-02</t>
  </si>
  <si>
    <t>TRX-1347</t>
  </si>
  <si>
    <t>TRX-1349</t>
  </si>
  <si>
    <t>2024-10-15</t>
  </si>
  <si>
    <t>TRX-1351</t>
  </si>
  <si>
    <t>TRX-1352</t>
  </si>
  <si>
    <t>TRX-1354</t>
  </si>
  <si>
    <t>2024-11-17</t>
  </si>
  <si>
    <t>TRX-1355</t>
  </si>
  <si>
    <t>2024-03-26</t>
  </si>
  <si>
    <t>TRX-1356</t>
  </si>
  <si>
    <t>2024-12-25</t>
  </si>
  <si>
    <t>TRX-1358</t>
  </si>
  <si>
    <t>TRX-1360</t>
  </si>
  <si>
    <t>2024-08-14</t>
  </si>
  <si>
    <t>TRX-1361</t>
  </si>
  <si>
    <t>2024-03-10</t>
  </si>
  <si>
    <t>TRX-1363</t>
  </si>
  <si>
    <t>TRX-1364</t>
  </si>
  <si>
    <t>2024-02-20</t>
  </si>
  <si>
    <t>TRX-1365</t>
  </si>
  <si>
    <t>2024-05-30</t>
  </si>
  <si>
    <t>TRX-1367</t>
  </si>
  <si>
    <t>TRX-1374</t>
  </si>
  <si>
    <t>2024-07-02</t>
  </si>
  <si>
    <t>TRX-1375</t>
  </si>
  <si>
    <t>TRX-1377</t>
  </si>
  <si>
    <t>2024-10-05</t>
  </si>
  <si>
    <t>TRX-1379</t>
  </si>
  <si>
    <t>2024-04-04</t>
  </si>
  <si>
    <t>TRX-1381</t>
  </si>
  <si>
    <t>2024-07-25</t>
  </si>
  <si>
    <t>TRX-1383</t>
  </si>
  <si>
    <t>TRX-1384</t>
  </si>
  <si>
    <t>2024-02-22</t>
  </si>
  <si>
    <t>TRX-1385</t>
  </si>
  <si>
    <t>2024-05-04</t>
  </si>
  <si>
    <t>TRX-1387</t>
  </si>
  <si>
    <t>2024-11-10</t>
  </si>
  <si>
    <t>TRX-1390</t>
  </si>
  <si>
    <t>2024-03-07</t>
  </si>
  <si>
    <t>TRX-1391</t>
  </si>
  <si>
    <t>TRX-1393</t>
  </si>
  <si>
    <t>2024-07-17</t>
  </si>
  <si>
    <t>TRX-1395</t>
  </si>
  <si>
    <t>2024-09-22</t>
  </si>
  <si>
    <t>TRX-1396</t>
  </si>
  <si>
    <t>2024-11-13</t>
  </si>
  <si>
    <t>TRX-1398</t>
  </si>
  <si>
    <t>2024-05-22</t>
  </si>
  <si>
    <t>TRX-1402</t>
  </si>
  <si>
    <t>2024-11-14</t>
  </si>
  <si>
    <t>TRX-1404</t>
  </si>
  <si>
    <t>TRX-1407</t>
  </si>
  <si>
    <t>2024-12-18</t>
  </si>
  <si>
    <t>TRX-1408</t>
  </si>
  <si>
    <t>2024-12-09</t>
  </si>
  <si>
    <t>TRX-1411</t>
  </si>
  <si>
    <t>2024-05-12</t>
  </si>
  <si>
    <t>TRX-1413</t>
  </si>
  <si>
    <t>TRX-1417</t>
  </si>
  <si>
    <t>2024-06-17</t>
  </si>
  <si>
    <t>TRX-1418</t>
  </si>
  <si>
    <t>TRX-1425</t>
  </si>
  <si>
    <t>2024-09-28</t>
  </si>
  <si>
    <t>TRX-1430</t>
  </si>
  <si>
    <t>TRX-1433</t>
  </si>
  <si>
    <t>2024-07-18</t>
  </si>
  <si>
    <t>TRX-1435</t>
  </si>
  <si>
    <t>2024-09-25</t>
  </si>
  <si>
    <t>TRX-1437</t>
  </si>
  <si>
    <t>TRX-1443</t>
  </si>
  <si>
    <t>2024-10-09</t>
  </si>
  <si>
    <t>TRX-1445</t>
  </si>
  <si>
    <t>TRX-1446</t>
  </si>
  <si>
    <t>TRX-1447</t>
  </si>
  <si>
    <t>TRX-1449</t>
  </si>
  <si>
    <t>2024-02-09</t>
  </si>
  <si>
    <t>TRX-1450</t>
  </si>
  <si>
    <t>2024-11-30</t>
  </si>
  <si>
    <t>TRX-1453</t>
  </si>
  <si>
    <t>2024-12-10</t>
  </si>
  <si>
    <t>TRX-1456</t>
  </si>
  <si>
    <t>TRX-1457</t>
  </si>
  <si>
    <t>2024-12-06</t>
  </si>
  <si>
    <t>TRX-1458</t>
  </si>
  <si>
    <t>2024-04-12</t>
  </si>
  <si>
    <t>TRX-1463</t>
  </si>
  <si>
    <t>TRX-1465</t>
  </si>
  <si>
    <t>2024-04-02</t>
  </si>
  <si>
    <t>TRX-1467</t>
  </si>
  <si>
    <t>2024-11-22</t>
  </si>
  <si>
    <t>TRX-1469</t>
  </si>
  <si>
    <t>TRX-1470</t>
  </si>
  <si>
    <t>2024-01-22</t>
  </si>
  <si>
    <t>TRX-1476</t>
  </si>
  <si>
    <t>2024-02-19</t>
  </si>
  <si>
    <t>TRX-1477</t>
  </si>
  <si>
    <t>2024-08-12</t>
  </si>
  <si>
    <t>TRX-1478</t>
  </si>
  <si>
    <t>TRX-1486</t>
  </si>
  <si>
    <t>2024-04-29</t>
  </si>
  <si>
    <t>TRX-1488</t>
  </si>
  <si>
    <t>TRX-1490</t>
  </si>
  <si>
    <t>2024-05-26</t>
  </si>
  <si>
    <t>TRX-1491</t>
  </si>
  <si>
    <t>2024-08-08</t>
  </si>
  <si>
    <t>TRX-1494</t>
  </si>
  <si>
    <t>TRX-1496</t>
  </si>
  <si>
    <t>2024-12-11</t>
  </si>
  <si>
    <t>TRX-1498</t>
  </si>
  <si>
    <t>2024-10-28</t>
  </si>
  <si>
    <t>1000</t>
  </si>
  <si>
    <t>Cash &amp; Equivalents</t>
  </si>
  <si>
    <t>TRX-1002</t>
  </si>
  <si>
    <t>2024-10-19</t>
  </si>
  <si>
    <t>TRX-1005</t>
  </si>
  <si>
    <t>2024-02-21</t>
  </si>
  <si>
    <t>TRX-1007</t>
  </si>
  <si>
    <t>TRX-1012</t>
  </si>
  <si>
    <t>TRX-1015</t>
  </si>
  <si>
    <t>TRX-1017</t>
  </si>
  <si>
    <t>2024-09-05</t>
  </si>
  <si>
    <t>TRX-1018</t>
  </si>
  <si>
    <t>TRX-1019</t>
  </si>
  <si>
    <t>2024-10-03</t>
  </si>
  <si>
    <t>TRX-1024</t>
  </si>
  <si>
    <t>2024-06-28</t>
  </si>
  <si>
    <t>TRX-1025</t>
  </si>
  <si>
    <t>TRX-1035</t>
  </si>
  <si>
    <t>2024-02-27</t>
  </si>
  <si>
    <t>TRX-1052</t>
  </si>
  <si>
    <t>TRX-1057</t>
  </si>
  <si>
    <t>2024-01-29</t>
  </si>
  <si>
    <t>TRX-1061</t>
  </si>
  <si>
    <t>TRX-1081</t>
  </si>
  <si>
    <t>2024-12-02</t>
  </si>
  <si>
    <t>TRX-1082</t>
  </si>
  <si>
    <t>TRX-1083</t>
  </si>
  <si>
    <t>2024-12-27</t>
  </si>
  <si>
    <t>TRX-1087</t>
  </si>
  <si>
    <t>2024-07-12</t>
  </si>
  <si>
    <t>TRX-1092</t>
  </si>
  <si>
    <t>TRX-1119</t>
  </si>
  <si>
    <t>2024-02-03</t>
  </si>
  <si>
    <t>TRX-1128</t>
  </si>
  <si>
    <t>2024-04-09</t>
  </si>
  <si>
    <t>TRX-1137</t>
  </si>
  <si>
    <t>2024-06-20</t>
  </si>
  <si>
    <t>TRX-1138</t>
  </si>
  <si>
    <t>TRX-1142</t>
  </si>
  <si>
    <t>TRX-1146</t>
  </si>
  <si>
    <t>2024-07-04</t>
  </si>
  <si>
    <t>TRX-1168</t>
  </si>
  <si>
    <t>2024-01-25</t>
  </si>
  <si>
    <t>TRX-1181</t>
  </si>
  <si>
    <t>TRX-1188</t>
  </si>
  <si>
    <t>TRX-1191</t>
  </si>
  <si>
    <t>TRX-1195</t>
  </si>
  <si>
    <t>2024-11-11</t>
  </si>
  <si>
    <t>TRX-1203</t>
  </si>
  <si>
    <t>2024-03-03</t>
  </si>
  <si>
    <t>TRX-1207</t>
  </si>
  <si>
    <t>TRX-1215</t>
  </si>
  <si>
    <t>2024-10-07</t>
  </si>
  <si>
    <t>TRX-1220</t>
  </si>
  <si>
    <t>2024-09-10</t>
  </si>
  <si>
    <t>TRX-1221</t>
  </si>
  <si>
    <t>TRX-1232</t>
  </si>
  <si>
    <t>TRX-1240</t>
  </si>
  <si>
    <t>TRX-1241</t>
  </si>
  <si>
    <t>2024-10-27</t>
  </si>
  <si>
    <t>TRX-1243</t>
  </si>
  <si>
    <t>2024-06-19</t>
  </si>
  <si>
    <t>TRX-1268</t>
  </si>
  <si>
    <t>TRX-1272</t>
  </si>
  <si>
    <t>TRX-1277</t>
  </si>
  <si>
    <t>TRX-1284</t>
  </si>
  <si>
    <t>2024-02-05</t>
  </si>
  <si>
    <t>TRX-1287</t>
  </si>
  <si>
    <t>TRX-1296</t>
  </si>
  <si>
    <t>2024-12-21</t>
  </si>
  <si>
    <t>TRX-1301</t>
  </si>
  <si>
    <t>2024-05-19</t>
  </si>
  <si>
    <t>TRX-1307</t>
  </si>
  <si>
    <t>2024-12-05</t>
  </si>
  <si>
    <t>TRX-1312</t>
  </si>
  <si>
    <t>2024-04-19</t>
  </si>
  <si>
    <t>TRX-1313</t>
  </si>
  <si>
    <t>TRX-1314</t>
  </si>
  <si>
    <t>2024-10-12</t>
  </si>
  <si>
    <t>TRX-1318</t>
  </si>
  <si>
    <t>2024-04-15</t>
  </si>
  <si>
    <t>TRX-1319</t>
  </si>
  <si>
    <t>2024-07-19</t>
  </si>
  <si>
    <t>TRX-1331</t>
  </si>
  <si>
    <t>2024-10-21</t>
  </si>
  <si>
    <t>TRX-1336</t>
  </si>
  <si>
    <t>2024-01-17</t>
  </si>
  <si>
    <t>TRX-1350</t>
  </si>
  <si>
    <t>TRX-1353</t>
  </si>
  <si>
    <t>TRX-1357</t>
  </si>
  <si>
    <t>TRX-1359</t>
  </si>
  <si>
    <t>2024-07-10</t>
  </si>
  <si>
    <t>TRX-1362</t>
  </si>
  <si>
    <t>TRX-1369</t>
  </si>
  <si>
    <t>2024-04-24</t>
  </si>
  <si>
    <t>TRX-1371</t>
  </si>
  <si>
    <t>2024-04-16</t>
  </si>
  <si>
    <t>TRX-1372</t>
  </si>
  <si>
    <t>2024-09-15</t>
  </si>
  <si>
    <t>TRX-1388</t>
  </si>
  <si>
    <t>TRX-1400</t>
  </si>
  <si>
    <t>2024-08-17</t>
  </si>
  <si>
    <t>TRX-1410</t>
  </si>
  <si>
    <t>2024-02-29</t>
  </si>
  <si>
    <t>TRX-1416</t>
  </si>
  <si>
    <t>2024-11-03</t>
  </si>
  <si>
    <t>TRX-1423</t>
  </si>
  <si>
    <t>2024-12-12</t>
  </si>
  <si>
    <t>TRX-1426</t>
  </si>
  <si>
    <t>TRX-1428</t>
  </si>
  <si>
    <t>TRX-1431</t>
  </si>
  <si>
    <t>2024-07-24</t>
  </si>
  <si>
    <t>TRX-1432</t>
  </si>
  <si>
    <t>2024-06-05</t>
  </si>
  <si>
    <t>TRX-1441</t>
  </si>
  <si>
    <t>2024-10-10</t>
  </si>
  <si>
    <t>TRX-1444</t>
  </si>
  <si>
    <t>2024-08-29</t>
  </si>
  <si>
    <t>TRX-1451</t>
  </si>
  <si>
    <t>TRX-1455</t>
  </si>
  <si>
    <t>TRX-1472</t>
  </si>
  <si>
    <t>2024-08-01</t>
  </si>
  <si>
    <t>TRX-1474</t>
  </si>
  <si>
    <t>TRX-1475</t>
  </si>
  <si>
    <t>2024-10-24</t>
  </si>
  <si>
    <t>TRX-1479</t>
  </si>
  <si>
    <t>2024-09-01</t>
  </si>
  <si>
    <t>TRX-1480</t>
  </si>
  <si>
    <t>2024-06-30</t>
  </si>
  <si>
    <t>TRX-1483</t>
  </si>
  <si>
    <t>2024-05-06</t>
  </si>
  <si>
    <t>TRX-1484</t>
  </si>
  <si>
    <t>2024-05-18</t>
  </si>
  <si>
    <t>TRX-1489</t>
  </si>
  <si>
    <t>2024-08-30</t>
  </si>
  <si>
    <t>TRX-1495</t>
  </si>
  <si>
    <t>2024-01-15</t>
  </si>
  <si>
    <t>TRX-1000</t>
  </si>
  <si>
    <t>1200</t>
  </si>
  <si>
    <t>Inventory</t>
  </si>
  <si>
    <t>TRX-1006</t>
  </si>
  <si>
    <t>2024-09-19</t>
  </si>
  <si>
    <t>TRX-1010</t>
  </si>
  <si>
    <t>TRX-1028</t>
  </si>
  <si>
    <t>2024-12-28</t>
  </si>
  <si>
    <t>TRX-1031</t>
  </si>
  <si>
    <t>2024-09-21</t>
  </si>
  <si>
    <t>TRX-1032</t>
  </si>
  <si>
    <t>2024-09-08</t>
  </si>
  <si>
    <t>TRX-1033</t>
  </si>
  <si>
    <t>TRX-1037</t>
  </si>
  <si>
    <t>2024-03-08</t>
  </si>
  <si>
    <t>TRX-1041</t>
  </si>
  <si>
    <t>TRX-1042</t>
  </si>
  <si>
    <t>2024-05-23</t>
  </si>
  <si>
    <t>TRX-1046</t>
  </si>
  <si>
    <t>2024-04-27</t>
  </si>
  <si>
    <t>TRX-1047</t>
  </si>
  <si>
    <t>2024-07-09</t>
  </si>
  <si>
    <t>TRX-1050</t>
  </si>
  <si>
    <t>2024-07-06</t>
  </si>
  <si>
    <t>TRX-1051</t>
  </si>
  <si>
    <t>TRX-1053</t>
  </si>
  <si>
    <t>2024-05-24</t>
  </si>
  <si>
    <t>TRX-1054</t>
  </si>
  <si>
    <t>2024-04-21</t>
  </si>
  <si>
    <t>TRX-1059</t>
  </si>
  <si>
    <t>TRX-1060</t>
  </si>
  <si>
    <t>TRX-1062</t>
  </si>
  <si>
    <t>TRX-1064</t>
  </si>
  <si>
    <t>TRX-1065</t>
  </si>
  <si>
    <t>TRX-1068</t>
  </si>
  <si>
    <t>TRX-1073</t>
  </si>
  <si>
    <t>TRX-1074</t>
  </si>
  <si>
    <t>TRX-1077</t>
  </si>
  <si>
    <t>2024-09-14</t>
  </si>
  <si>
    <t>TRX-1078</t>
  </si>
  <si>
    <t>TRX-1079</t>
  </si>
  <si>
    <t>2024-04-13</t>
  </si>
  <si>
    <t>TRX-1086</t>
  </si>
  <si>
    <t>2024-05-25</t>
  </si>
  <si>
    <t>TRX-1089</t>
  </si>
  <si>
    <t>2024-08-07</t>
  </si>
  <si>
    <t>TRX-1093</t>
  </si>
  <si>
    <t>TRX-1102</t>
  </si>
  <si>
    <t>2024-08-03</t>
  </si>
  <si>
    <t>TRX-1120</t>
  </si>
  <si>
    <t>2024-06-23</t>
  </si>
  <si>
    <t>TRX-1122</t>
  </si>
  <si>
    <t>TRX-1126</t>
  </si>
  <si>
    <t>TRX-1127</t>
  </si>
  <si>
    <t>TRX-1130</t>
  </si>
  <si>
    <t>2024-04-14</t>
  </si>
  <si>
    <t>TRX-1139</t>
  </si>
  <si>
    <t>2024-04-25</t>
  </si>
  <si>
    <t>TRX-1140</t>
  </si>
  <si>
    <t>TRX-1145</t>
  </si>
  <si>
    <t>2024-10-29</t>
  </si>
  <si>
    <t>TRX-1154</t>
  </si>
  <si>
    <t>TRX-1155</t>
  </si>
  <si>
    <t>2024-03-13</t>
  </si>
  <si>
    <t>TRX-1157</t>
  </si>
  <si>
    <t>TRX-1158</t>
  </si>
  <si>
    <t>TRX-1161</t>
  </si>
  <si>
    <t>2024-11-05</t>
  </si>
  <si>
    <t>TRX-1163</t>
  </si>
  <si>
    <t>TRX-1164</t>
  </si>
  <si>
    <t>TRX-1166</t>
  </si>
  <si>
    <t>2024-11-06</t>
  </si>
  <si>
    <t>TRX-1172</t>
  </si>
  <si>
    <t>2024-03-27</t>
  </si>
  <si>
    <t>TRX-1176</t>
  </si>
  <si>
    <t>2024-04-10</t>
  </si>
  <si>
    <t>TRX-1180</t>
  </si>
  <si>
    <t>2024-09-03</t>
  </si>
  <si>
    <t>TRX-1185</t>
  </si>
  <si>
    <t>TRX-1187</t>
  </si>
  <si>
    <t>TRX-1189</t>
  </si>
  <si>
    <t>TRX-1194</t>
  </si>
  <si>
    <t>TRX-1198</t>
  </si>
  <si>
    <t>2024-06-01</t>
  </si>
  <si>
    <t>TRX-1201</t>
  </si>
  <si>
    <t>TRX-1206</t>
  </si>
  <si>
    <t>2024-10-30</t>
  </si>
  <si>
    <t>TRX-1211</t>
  </si>
  <si>
    <t>TRX-1214</t>
  </si>
  <si>
    <t>TRX-1223</t>
  </si>
  <si>
    <t>2024-10-22</t>
  </si>
  <si>
    <t>TRX-1225</t>
  </si>
  <si>
    <t>TRX-1229</t>
  </si>
  <si>
    <t>TRX-1234</t>
  </si>
  <si>
    <t>TRX-1235</t>
  </si>
  <si>
    <t>2024-10-26</t>
  </si>
  <si>
    <t>TRX-1237</t>
  </si>
  <si>
    <t>TRX-1238</t>
  </si>
  <si>
    <t>2024-10-02</t>
  </si>
  <si>
    <t>TRX-1247</t>
  </si>
  <si>
    <t>2024-12-08</t>
  </si>
  <si>
    <t>TRX-1252</t>
  </si>
  <si>
    <t>TRX-1253</t>
  </si>
  <si>
    <t>TRX-1255</t>
  </si>
  <si>
    <t>TRX-1257</t>
  </si>
  <si>
    <t>TRX-1258</t>
  </si>
  <si>
    <t>2024-04-03</t>
  </si>
  <si>
    <t>TRX-1259</t>
  </si>
  <si>
    <t>TRX-1260</t>
  </si>
  <si>
    <t>2024-10-25</t>
  </si>
  <si>
    <t>TRX-1261</t>
  </si>
  <si>
    <t>TRX-1265</t>
  </si>
  <si>
    <t>TRX-1266</t>
  </si>
  <si>
    <t>TRX-1273</t>
  </si>
  <si>
    <t>TRX-1278</t>
  </si>
  <si>
    <t>TRX-1279</t>
  </si>
  <si>
    <t>TRX-1280</t>
  </si>
  <si>
    <t>2024-07-30</t>
  </si>
  <si>
    <t>TRX-1281</t>
  </si>
  <si>
    <t>TRX-1283</t>
  </si>
  <si>
    <t>TRX-1286</t>
  </si>
  <si>
    <t>2024-03-05</t>
  </si>
  <si>
    <t>TRX-1289</t>
  </si>
  <si>
    <t>2024-06-11</t>
  </si>
  <si>
    <t>TRX-1302</t>
  </si>
  <si>
    <t>2024-02-25</t>
  </si>
  <si>
    <t>TRX-1303</t>
  </si>
  <si>
    <t>TRX-1304</t>
  </si>
  <si>
    <t>2024-10-23</t>
  </si>
  <si>
    <t>TRX-1322</t>
  </si>
  <si>
    <t>2024-10-17</t>
  </si>
  <si>
    <t>TRX-1326</t>
  </si>
  <si>
    <t>2024-12-26</t>
  </si>
  <si>
    <t>TRX-1333</t>
  </si>
  <si>
    <t>2024-10-08</t>
  </si>
  <si>
    <t>TRX-1334</t>
  </si>
  <si>
    <t>TRX-1335</t>
  </si>
  <si>
    <t>TRX-1337</t>
  </si>
  <si>
    <t>TRX-1342</t>
  </si>
  <si>
    <t>2024-11-01</t>
  </si>
  <si>
    <t>TRX-1348</t>
  </si>
  <si>
    <t>2024-07-31</t>
  </si>
  <si>
    <t>TRX-1366</t>
  </si>
  <si>
    <t>2024-12-03</t>
  </si>
  <si>
    <t>TRX-1373</t>
  </si>
  <si>
    <t>2024-01-08</t>
  </si>
  <si>
    <t>TRX-1376</t>
  </si>
  <si>
    <t>TRX-1378</t>
  </si>
  <si>
    <t>2024-01-21</t>
  </si>
  <si>
    <t>TRX-1382</t>
  </si>
  <si>
    <t>TRX-1389</t>
  </si>
  <si>
    <t>TRX-1392</t>
  </si>
  <si>
    <t>TRX-1399</t>
  </si>
  <si>
    <t>TRX-1401</t>
  </si>
  <si>
    <t>2024-01-06</t>
  </si>
  <si>
    <t>TRX-1403</t>
  </si>
  <si>
    <t>TRX-1409</t>
  </si>
  <si>
    <t>TRX-1421</t>
  </si>
  <si>
    <t>TRX-1422</t>
  </si>
  <si>
    <t>2024-10-18</t>
  </si>
  <si>
    <t>TRX-1427</t>
  </si>
  <si>
    <t>TRX-1429</t>
  </si>
  <si>
    <t>TRX-1434</t>
  </si>
  <si>
    <t>TRX-1440</t>
  </si>
  <si>
    <t>TRX-1442</t>
  </si>
  <si>
    <t>TRX-1459</t>
  </si>
  <si>
    <t>TRX-1460</t>
  </si>
  <si>
    <t>TRX-1462</t>
  </si>
  <si>
    <t>TRX-1464</t>
  </si>
  <si>
    <t>TRX-1468</t>
  </si>
  <si>
    <t>2024-04-22</t>
  </si>
  <si>
    <t>TRX-1482</t>
  </si>
  <si>
    <t>TRX-1485</t>
  </si>
  <si>
    <t>TRX-1492</t>
  </si>
  <si>
    <t>TRX-1008</t>
  </si>
  <si>
    <t>6000</t>
  </si>
  <si>
    <t>Operating Expenses</t>
  </si>
  <si>
    <t>Expense</t>
  </si>
  <si>
    <t>Income Statement</t>
  </si>
  <si>
    <t>TRX-1009</t>
  </si>
  <si>
    <t>2024-02-01</t>
  </si>
  <si>
    <t>TRX-1011</t>
  </si>
  <si>
    <t>TRX-1013</t>
  </si>
  <si>
    <t>TRX-1014</t>
  </si>
  <si>
    <t>2024-12-17</t>
  </si>
  <si>
    <t>TRX-1020</t>
  </si>
  <si>
    <t>TRX-1030</t>
  </si>
  <si>
    <t>TRX-1034</t>
  </si>
  <si>
    <t>TRX-1039</t>
  </si>
  <si>
    <t>TRX-1045</t>
  </si>
  <si>
    <t>TRX-1055</t>
  </si>
  <si>
    <t>TRX-1056</t>
  </si>
  <si>
    <t>TRX-1071</t>
  </si>
  <si>
    <t>TRX-1080</t>
  </si>
  <si>
    <t>TRX-1085</t>
  </si>
  <si>
    <t>TRX-1088</t>
  </si>
  <si>
    <t>TRX-1091</t>
  </si>
  <si>
    <t>2024-09-30</t>
  </si>
  <si>
    <t>TRX-1103</t>
  </si>
  <si>
    <t>2024-11-18</t>
  </si>
  <si>
    <t>TRX-1106</t>
  </si>
  <si>
    <t>TRX-1112</t>
  </si>
  <si>
    <t>TRX-1118</t>
  </si>
  <si>
    <t>TRX-1121</t>
  </si>
  <si>
    <t>TRX-1123</t>
  </si>
  <si>
    <t>TRX-1124</t>
  </si>
  <si>
    <t>2024-10-06</t>
  </si>
  <si>
    <t>TRX-1131</t>
  </si>
  <si>
    <t>2024-08-13</t>
  </si>
  <si>
    <t>TRX-1133</t>
  </si>
  <si>
    <t>TRX-1136</t>
  </si>
  <si>
    <t>2024-05-02</t>
  </si>
  <si>
    <t>TRX-1141</t>
  </si>
  <si>
    <t>TRX-1148</t>
  </si>
  <si>
    <t>TRX-1152</t>
  </si>
  <si>
    <t>TRX-1153</t>
  </si>
  <si>
    <t>TRX-1156</t>
  </si>
  <si>
    <t>2024-05-11</t>
  </si>
  <si>
    <t>TRX-1162</t>
  </si>
  <si>
    <t>TRX-1165</t>
  </si>
  <si>
    <t>TRX-1167</t>
  </si>
  <si>
    <t>TRX-1170</t>
  </si>
  <si>
    <t>2024-01-09</t>
  </si>
  <si>
    <t>TRX-1171</t>
  </si>
  <si>
    <t>TRX-1177</t>
  </si>
  <si>
    <t>TRX-1178</t>
  </si>
  <si>
    <t>TRX-1179</t>
  </si>
  <si>
    <t>2024-08-24</t>
  </si>
  <si>
    <t>TRX-1184</t>
  </si>
  <si>
    <t>TRX-1190</t>
  </si>
  <si>
    <t>2024-06-21</t>
  </si>
  <si>
    <t>TRX-1192</t>
  </si>
  <si>
    <t>2024-11-07</t>
  </si>
  <si>
    <t>TRX-1197</t>
  </si>
  <si>
    <t>TRX-1199</t>
  </si>
  <si>
    <t>TRX-1200</t>
  </si>
  <si>
    <t>TRX-1202</t>
  </si>
  <si>
    <t>TRX-1204</t>
  </si>
  <si>
    <t>TRX-1208</t>
  </si>
  <si>
    <t>TRX-1213</t>
  </si>
  <si>
    <t>TRX-1217</t>
  </si>
  <si>
    <t>TRX-1224</t>
  </si>
  <si>
    <t>TRX-1228</t>
  </si>
  <si>
    <t>TRX-1230</t>
  </si>
  <si>
    <t>TRX-1231</t>
  </si>
  <si>
    <t>TRX-1233</t>
  </si>
  <si>
    <t>TRX-1242</t>
  </si>
  <si>
    <t>TRX-1248</t>
  </si>
  <si>
    <t>TRX-1249</t>
  </si>
  <si>
    <t>TRX-1251</t>
  </si>
  <si>
    <t>TRX-1254</t>
  </si>
  <si>
    <t>TRX-1256</t>
  </si>
  <si>
    <t>2024-10-13</t>
  </si>
  <si>
    <t>TRX-1263</t>
  </si>
  <si>
    <t>TRX-1264</t>
  </si>
  <si>
    <t>TRX-1267</t>
  </si>
  <si>
    <t>TRX-1269</t>
  </si>
  <si>
    <t>2024-05-31</t>
  </si>
  <si>
    <t>TRX-1275</t>
  </si>
  <si>
    <t>TRX-1276</t>
  </si>
  <si>
    <t>2024-07-11</t>
  </si>
  <si>
    <t>TRX-1285</t>
  </si>
  <si>
    <t>TRX-1293</t>
  </si>
  <si>
    <t>2024-04-26</t>
  </si>
  <si>
    <t>TRX-1294</t>
  </si>
  <si>
    <t>TRX-1300</t>
  </si>
  <si>
    <t>TRX-1315</t>
  </si>
  <si>
    <t>TRX-1321</t>
  </si>
  <si>
    <t>TRX-1323</t>
  </si>
  <si>
    <t>2024-12-14</t>
  </si>
  <si>
    <t>TRX-1328</t>
  </si>
  <si>
    <t>TRX-1341</t>
  </si>
  <si>
    <t>TRX-1343</t>
  </si>
  <si>
    <t>2024-03-23</t>
  </si>
  <si>
    <t>TRX-1346</t>
  </si>
  <si>
    <t>TRX-1368</t>
  </si>
  <si>
    <t>TRX-1370</t>
  </si>
  <si>
    <t>TRX-1380</t>
  </si>
  <si>
    <t>TRX-1386</t>
  </si>
  <si>
    <t>TRX-1394</t>
  </si>
  <si>
    <t>TRX-1397</t>
  </si>
  <si>
    <t>2024-06-08</t>
  </si>
  <si>
    <t>TRX-1405</t>
  </si>
  <si>
    <t>TRX-1406</t>
  </si>
  <si>
    <t>2024-03-17</t>
  </si>
  <si>
    <t>TRX-1412</t>
  </si>
  <si>
    <t>TRX-1414</t>
  </si>
  <si>
    <t>TRX-1415</t>
  </si>
  <si>
    <t>TRX-1419</t>
  </si>
  <si>
    <t>TRX-1420</t>
  </si>
  <si>
    <t>TRX-1424</t>
  </si>
  <si>
    <t>TRX-1436</t>
  </si>
  <si>
    <t>2024-08-05</t>
  </si>
  <si>
    <t>TRX-1438</t>
  </si>
  <si>
    <t>TRX-1439</t>
  </si>
  <si>
    <t>TRX-1448</t>
  </si>
  <si>
    <t>2024-09-06</t>
  </si>
  <si>
    <t>TRX-1452</t>
  </si>
  <si>
    <t>TRX-1454</t>
  </si>
  <si>
    <t>TRX-1461</t>
  </si>
  <si>
    <t>2024-06-22</t>
  </si>
  <si>
    <t>TRX-1466</t>
  </si>
  <si>
    <t>TRX-1471</t>
  </si>
  <si>
    <t>2024-08-20</t>
  </si>
  <si>
    <t>TRX-1473</t>
  </si>
  <si>
    <t>TRX-1481</t>
  </si>
  <si>
    <t>TRX-1487</t>
  </si>
  <si>
    <t>TRX-1493</t>
  </si>
  <si>
    <t>2024-01-11</t>
  </si>
  <si>
    <t>TRX-1497</t>
  </si>
  <si>
    <t>TRX-1499</t>
  </si>
  <si>
    <t>2024-07-16</t>
  </si>
  <si>
    <t>5000</t>
  </si>
  <si>
    <t>Cost of Goods Sold</t>
  </si>
  <si>
    <t>4000</t>
  </si>
  <si>
    <t>Sales Revenue</t>
  </si>
  <si>
    <t>Revenue</t>
  </si>
  <si>
    <t>2000</t>
  </si>
  <si>
    <t>Accounts Payable</t>
  </si>
  <si>
    <t>Liability</t>
  </si>
  <si>
    <t>Row Labels</t>
  </si>
  <si>
    <t>Grand Total</t>
  </si>
  <si>
    <t>Sum of AmountGHS</t>
  </si>
  <si>
    <t>Total Revenue(sum)</t>
  </si>
  <si>
    <t>Gross Profit (Revenue - COGS)</t>
  </si>
  <si>
    <t>EBITDA (Gross Profit -OPEX)</t>
  </si>
  <si>
    <t>ASSETS</t>
  </si>
  <si>
    <t>Account Receivables</t>
  </si>
  <si>
    <t xml:space="preserve">Inventory </t>
  </si>
  <si>
    <t>Total Assets</t>
  </si>
  <si>
    <t>LIABILITIES</t>
  </si>
  <si>
    <t>Total Liabilities</t>
  </si>
  <si>
    <t>EQUITY</t>
  </si>
  <si>
    <t>Retained Earnings (Previous)</t>
  </si>
  <si>
    <t>Net Income (Current Period)</t>
  </si>
  <si>
    <t>Total Equity</t>
  </si>
  <si>
    <t>Total Liabilities &amp; Equity</t>
  </si>
  <si>
    <t>BALANCE CHECK (The most important row)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</si>
</sst>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lbert Botchway" refreshedDate="46020.865019097226" createdVersion="6" refreshedVersion="6" minRefreshableVersion="3" recordCount="1000" xr:uid="{2E967C80-37BB-4B68-8A1C-555199662504}">
  <cacheSource type="worksheet">
    <worksheetSource name="Table_View_Financial_Model_Source"/>
  </cacheSource>
  <cacheFields count="7">
    <cacheField name="TransactionID" numFmtId="0">
      <sharedItems/>
    </cacheField>
    <cacheField name="TransactionDate" numFmtId="0">
      <sharedItems/>
    </cacheField>
    <cacheField name="AccountCode" numFmtId="0">
      <sharedItems count="7">
        <s v="1100"/>
        <s v="1000"/>
        <s v="1200"/>
        <s v="6000"/>
        <s v="5000"/>
        <s v="4000"/>
        <s v="2000"/>
      </sharedItems>
    </cacheField>
    <cacheField name="AccountName" numFmtId="0">
      <sharedItems count="7">
        <s v="Accounts Receivable"/>
        <s v="Cash &amp; Equivalents"/>
        <s v="Inventory"/>
        <s v="Operating Expenses"/>
        <s v="Cost of Goods Sold"/>
        <s v="Sales Revenue"/>
        <s v="Accounts Payable"/>
      </sharedItems>
    </cacheField>
    <cacheField name="AccountType" numFmtId="0">
      <sharedItems count="4">
        <s v="Asset"/>
        <s v="Expense"/>
        <s v="Revenue"/>
        <s v="Liability"/>
      </sharedItems>
    </cacheField>
    <cacheField name="FinancialStatement" numFmtId="0">
      <sharedItems/>
    </cacheField>
    <cacheField name="AmountGHS" numFmtId="2">
      <sharedItems containsSemiMixedTypes="0" containsString="0" containsNumber="1" minValue="-4998.17" maxValue="4998.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TRX-1001"/>
    <s v="2024-05-29"/>
    <x v="0"/>
    <x v="0"/>
    <x v="0"/>
    <s v="Balance Sheet"/>
    <n v="-3834.48"/>
  </r>
  <r>
    <s v="TRX-1003"/>
    <s v="2024-08-02"/>
    <x v="0"/>
    <x v="0"/>
    <x v="0"/>
    <s v="Balance Sheet"/>
    <n v="4978.93"/>
  </r>
  <r>
    <s v="TRX-1004"/>
    <s v="2024-02-13"/>
    <x v="0"/>
    <x v="0"/>
    <x v="0"/>
    <s v="Balance Sheet"/>
    <n v="-1622.9"/>
  </r>
  <r>
    <s v="TRX-1016"/>
    <s v="2024-01-01"/>
    <x v="0"/>
    <x v="0"/>
    <x v="0"/>
    <s v="Balance Sheet"/>
    <n v="3156.71"/>
  </r>
  <r>
    <s v="TRX-1021"/>
    <s v="2024-04-07"/>
    <x v="0"/>
    <x v="0"/>
    <x v="0"/>
    <s v="Balance Sheet"/>
    <n v="-4475.3"/>
  </r>
  <r>
    <s v="TRX-1022"/>
    <s v="2024-09-20"/>
    <x v="0"/>
    <x v="0"/>
    <x v="0"/>
    <s v="Balance Sheet"/>
    <n v="1471.43"/>
  </r>
  <r>
    <s v="TRX-1023"/>
    <s v="2024-02-15"/>
    <x v="0"/>
    <x v="0"/>
    <x v="0"/>
    <s v="Balance Sheet"/>
    <n v="-1565.61"/>
  </r>
  <r>
    <s v="TRX-1026"/>
    <s v="2024-06-09"/>
    <x v="0"/>
    <x v="0"/>
    <x v="0"/>
    <s v="Balance Sheet"/>
    <n v="3617.97"/>
  </r>
  <r>
    <s v="TRX-1027"/>
    <s v="2024-02-10"/>
    <x v="0"/>
    <x v="0"/>
    <x v="0"/>
    <s v="Balance Sheet"/>
    <n v="-1424.32"/>
  </r>
  <r>
    <s v="TRX-1029"/>
    <s v="2024-11-15"/>
    <x v="0"/>
    <x v="0"/>
    <x v="0"/>
    <s v="Balance Sheet"/>
    <n v="-2537.58"/>
  </r>
  <r>
    <s v="TRX-1036"/>
    <s v="2024-02-11"/>
    <x v="0"/>
    <x v="0"/>
    <x v="0"/>
    <s v="Balance Sheet"/>
    <n v="1713.5"/>
  </r>
  <r>
    <s v="TRX-1038"/>
    <s v="2024-05-20"/>
    <x v="0"/>
    <x v="0"/>
    <x v="0"/>
    <s v="Balance Sheet"/>
    <n v="-2299.71"/>
  </r>
  <r>
    <s v="TRX-1040"/>
    <s v="2024-11-26"/>
    <x v="0"/>
    <x v="0"/>
    <x v="0"/>
    <s v="Balance Sheet"/>
    <n v="4295.1000000000004"/>
  </r>
  <r>
    <s v="TRX-1043"/>
    <s v="2024-06-13"/>
    <x v="0"/>
    <x v="0"/>
    <x v="0"/>
    <s v="Balance Sheet"/>
    <n v="-4087.97"/>
  </r>
  <r>
    <s v="TRX-1044"/>
    <s v="2024-05-17"/>
    <x v="0"/>
    <x v="0"/>
    <x v="0"/>
    <s v="Balance Sheet"/>
    <n v="2665.73"/>
  </r>
  <r>
    <s v="TRX-1048"/>
    <s v="2024-10-20"/>
    <x v="0"/>
    <x v="0"/>
    <x v="0"/>
    <s v="Balance Sheet"/>
    <n v="4666.18"/>
  </r>
  <r>
    <s v="TRX-1049"/>
    <s v="2024-01-28"/>
    <x v="0"/>
    <x v="0"/>
    <x v="0"/>
    <s v="Balance Sheet"/>
    <n v="-3944.21"/>
  </r>
  <r>
    <s v="TRX-1058"/>
    <s v="2024-08-02"/>
    <x v="0"/>
    <x v="0"/>
    <x v="0"/>
    <s v="Balance Sheet"/>
    <n v="-3231.25"/>
  </r>
  <r>
    <s v="TRX-1063"/>
    <s v="2024-08-10"/>
    <x v="0"/>
    <x v="0"/>
    <x v="0"/>
    <s v="Balance Sheet"/>
    <n v="-1147.1300000000001"/>
  </r>
  <r>
    <s v="TRX-1066"/>
    <s v="2024-04-05"/>
    <x v="0"/>
    <x v="0"/>
    <x v="0"/>
    <s v="Balance Sheet"/>
    <n v="1439.81"/>
  </r>
  <r>
    <s v="TRX-1067"/>
    <s v="2024-08-28"/>
    <x v="0"/>
    <x v="0"/>
    <x v="0"/>
    <s v="Balance Sheet"/>
    <n v="2214.75"/>
  </r>
  <r>
    <s v="TRX-1069"/>
    <s v="2024-08-27"/>
    <x v="0"/>
    <x v="0"/>
    <x v="0"/>
    <s v="Balance Sheet"/>
    <n v="-4182.21"/>
  </r>
  <r>
    <s v="TRX-1070"/>
    <s v="2024-02-14"/>
    <x v="0"/>
    <x v="0"/>
    <x v="0"/>
    <s v="Balance Sheet"/>
    <n v="2852.69"/>
  </r>
  <r>
    <s v="TRX-1072"/>
    <s v="2024-02-07"/>
    <x v="0"/>
    <x v="0"/>
    <x v="0"/>
    <s v="Balance Sheet"/>
    <n v="-4234.49"/>
  </r>
  <r>
    <s v="TRX-1075"/>
    <s v="2024-12-29"/>
    <x v="0"/>
    <x v="0"/>
    <x v="0"/>
    <s v="Balance Sheet"/>
    <n v="4487.46"/>
  </r>
  <r>
    <s v="TRX-1076"/>
    <s v="2024-01-26"/>
    <x v="0"/>
    <x v="0"/>
    <x v="0"/>
    <s v="Balance Sheet"/>
    <n v="-4849.08"/>
  </r>
  <r>
    <s v="TRX-1084"/>
    <s v="2024-01-23"/>
    <x v="0"/>
    <x v="0"/>
    <x v="0"/>
    <s v="Balance Sheet"/>
    <n v="2183.66"/>
  </r>
  <r>
    <s v="TRX-1090"/>
    <s v="2024-09-13"/>
    <x v="0"/>
    <x v="0"/>
    <x v="0"/>
    <s v="Balance Sheet"/>
    <n v="-1796.07"/>
  </r>
  <r>
    <s v="TRX-1094"/>
    <s v="2024-06-03"/>
    <x v="0"/>
    <x v="0"/>
    <x v="0"/>
    <s v="Balance Sheet"/>
    <n v="-4468.43"/>
  </r>
  <r>
    <s v="TRX-1095"/>
    <s v="2024-01-26"/>
    <x v="0"/>
    <x v="0"/>
    <x v="0"/>
    <s v="Balance Sheet"/>
    <n v="-4363.9799999999996"/>
  </r>
  <r>
    <s v="TRX-1096"/>
    <s v="2024-02-14"/>
    <x v="0"/>
    <x v="0"/>
    <x v="0"/>
    <s v="Balance Sheet"/>
    <n v="-3022.93"/>
  </r>
  <r>
    <s v="TRX-1097"/>
    <s v="2024-01-30"/>
    <x v="0"/>
    <x v="0"/>
    <x v="0"/>
    <s v="Balance Sheet"/>
    <n v="-1023.31"/>
  </r>
  <r>
    <s v="TRX-1098"/>
    <s v="2024-04-01"/>
    <x v="0"/>
    <x v="0"/>
    <x v="0"/>
    <s v="Balance Sheet"/>
    <n v="-4912.8"/>
  </r>
  <r>
    <s v="TRX-1099"/>
    <s v="2024-05-07"/>
    <x v="0"/>
    <x v="0"/>
    <x v="0"/>
    <s v="Balance Sheet"/>
    <n v="4723.25"/>
  </r>
  <r>
    <s v="TRX-1100"/>
    <s v="2024-02-18"/>
    <x v="0"/>
    <x v="0"/>
    <x v="0"/>
    <s v="Balance Sheet"/>
    <n v="-2330.92"/>
  </r>
  <r>
    <s v="TRX-1101"/>
    <s v="2024-03-28"/>
    <x v="0"/>
    <x v="0"/>
    <x v="0"/>
    <s v="Balance Sheet"/>
    <n v="-4228.58"/>
  </r>
  <r>
    <s v="TRX-1104"/>
    <s v="2024-06-14"/>
    <x v="0"/>
    <x v="0"/>
    <x v="0"/>
    <s v="Balance Sheet"/>
    <n v="4251.3599999999997"/>
  </r>
  <r>
    <s v="TRX-1105"/>
    <s v="2024-01-12"/>
    <x v="0"/>
    <x v="0"/>
    <x v="0"/>
    <s v="Balance Sheet"/>
    <n v="4023.18"/>
  </r>
  <r>
    <s v="TRX-1107"/>
    <s v="2024-03-29"/>
    <x v="0"/>
    <x v="0"/>
    <x v="0"/>
    <s v="Balance Sheet"/>
    <n v="1417.13"/>
  </r>
  <r>
    <s v="TRX-1108"/>
    <s v="2024-05-10"/>
    <x v="0"/>
    <x v="0"/>
    <x v="0"/>
    <s v="Balance Sheet"/>
    <n v="4710.8900000000003"/>
  </r>
  <r>
    <s v="TRX-1109"/>
    <s v="2024-04-28"/>
    <x v="0"/>
    <x v="0"/>
    <x v="0"/>
    <s v="Balance Sheet"/>
    <n v="1039.8"/>
  </r>
  <r>
    <s v="TRX-1110"/>
    <s v="2024-02-08"/>
    <x v="0"/>
    <x v="0"/>
    <x v="0"/>
    <s v="Balance Sheet"/>
    <n v="4970.38"/>
  </r>
  <r>
    <s v="TRX-1111"/>
    <s v="2024-01-14"/>
    <x v="0"/>
    <x v="0"/>
    <x v="0"/>
    <s v="Balance Sheet"/>
    <n v="3241"/>
  </r>
  <r>
    <s v="TRX-1113"/>
    <s v="2024-01-27"/>
    <x v="0"/>
    <x v="0"/>
    <x v="0"/>
    <s v="Balance Sheet"/>
    <n v="4236.47"/>
  </r>
  <r>
    <s v="TRX-1114"/>
    <s v="2024-01-03"/>
    <x v="0"/>
    <x v="0"/>
    <x v="0"/>
    <s v="Balance Sheet"/>
    <n v="2886.05"/>
  </r>
  <r>
    <s v="TRX-1115"/>
    <s v="2024-01-12"/>
    <x v="0"/>
    <x v="0"/>
    <x v="0"/>
    <s v="Balance Sheet"/>
    <n v="3588.62"/>
  </r>
  <r>
    <s v="TRX-1116"/>
    <s v="2024-03-14"/>
    <x v="0"/>
    <x v="0"/>
    <x v="0"/>
    <s v="Balance Sheet"/>
    <n v="2096.0300000000002"/>
  </r>
  <r>
    <s v="TRX-1117"/>
    <s v="2024-05-29"/>
    <x v="0"/>
    <x v="0"/>
    <x v="0"/>
    <s v="Balance Sheet"/>
    <n v="-4956.3100000000004"/>
  </r>
  <r>
    <s v="TRX-1125"/>
    <s v="2024-06-15"/>
    <x v="0"/>
    <x v="0"/>
    <x v="0"/>
    <s v="Balance Sheet"/>
    <n v="4659.41"/>
  </r>
  <r>
    <s v="TRX-1129"/>
    <s v="2024-01-16"/>
    <x v="0"/>
    <x v="0"/>
    <x v="0"/>
    <s v="Balance Sheet"/>
    <n v="-4804.92"/>
  </r>
  <r>
    <s v="TRX-1132"/>
    <s v="2024-06-14"/>
    <x v="0"/>
    <x v="0"/>
    <x v="0"/>
    <s v="Balance Sheet"/>
    <n v="2027.18"/>
  </r>
  <r>
    <s v="TRX-1134"/>
    <s v="2024-07-15"/>
    <x v="0"/>
    <x v="0"/>
    <x v="0"/>
    <s v="Balance Sheet"/>
    <n v="-4008.02"/>
  </r>
  <r>
    <s v="TRX-1135"/>
    <s v="2024-07-01"/>
    <x v="0"/>
    <x v="0"/>
    <x v="0"/>
    <s v="Balance Sheet"/>
    <n v="1917.34"/>
  </r>
  <r>
    <s v="TRX-1143"/>
    <s v="2024-11-16"/>
    <x v="0"/>
    <x v="0"/>
    <x v="0"/>
    <s v="Balance Sheet"/>
    <n v="1569.21"/>
  </r>
  <r>
    <s v="TRX-1144"/>
    <s v="2024-07-03"/>
    <x v="0"/>
    <x v="0"/>
    <x v="0"/>
    <s v="Balance Sheet"/>
    <n v="-4891.46"/>
  </r>
  <r>
    <s v="TRX-1147"/>
    <s v="2024-01-31"/>
    <x v="0"/>
    <x v="0"/>
    <x v="0"/>
    <s v="Balance Sheet"/>
    <n v="4108.72"/>
  </r>
  <r>
    <s v="TRX-1149"/>
    <s v="2024-03-31"/>
    <x v="0"/>
    <x v="0"/>
    <x v="0"/>
    <s v="Balance Sheet"/>
    <n v="2639.69"/>
  </r>
  <r>
    <s v="TRX-1150"/>
    <s v="2024-09-07"/>
    <x v="0"/>
    <x v="0"/>
    <x v="0"/>
    <s v="Balance Sheet"/>
    <n v="-2539.3000000000002"/>
  </r>
  <r>
    <s v="TRX-1151"/>
    <s v="2024-05-08"/>
    <x v="0"/>
    <x v="0"/>
    <x v="0"/>
    <s v="Balance Sheet"/>
    <n v="-1320.93"/>
  </r>
  <r>
    <s v="TRX-1159"/>
    <s v="2024-08-02"/>
    <x v="0"/>
    <x v="0"/>
    <x v="0"/>
    <s v="Balance Sheet"/>
    <n v="2690.75"/>
  </r>
  <r>
    <s v="TRX-1160"/>
    <s v="2024-06-10"/>
    <x v="0"/>
    <x v="0"/>
    <x v="0"/>
    <s v="Balance Sheet"/>
    <n v="-3945.87"/>
  </r>
  <r>
    <s v="TRX-1169"/>
    <s v="2024-06-16"/>
    <x v="0"/>
    <x v="0"/>
    <x v="0"/>
    <s v="Balance Sheet"/>
    <n v="1113.2"/>
  </r>
  <r>
    <s v="TRX-1173"/>
    <s v="2024-10-01"/>
    <x v="0"/>
    <x v="0"/>
    <x v="0"/>
    <s v="Balance Sheet"/>
    <n v="4350.0200000000004"/>
  </r>
  <r>
    <s v="TRX-1174"/>
    <s v="2024-10-04"/>
    <x v="0"/>
    <x v="0"/>
    <x v="0"/>
    <s v="Balance Sheet"/>
    <n v="-4026.21"/>
  </r>
  <r>
    <s v="TRX-1175"/>
    <s v="2024-05-15"/>
    <x v="0"/>
    <x v="0"/>
    <x v="0"/>
    <s v="Balance Sheet"/>
    <n v="-3291.58"/>
  </r>
  <r>
    <s v="TRX-1182"/>
    <s v="2024-09-17"/>
    <x v="0"/>
    <x v="0"/>
    <x v="0"/>
    <s v="Balance Sheet"/>
    <n v="-3313.94"/>
  </r>
  <r>
    <s v="TRX-1183"/>
    <s v="2024-08-04"/>
    <x v="0"/>
    <x v="0"/>
    <x v="0"/>
    <s v="Balance Sheet"/>
    <n v="4947.87"/>
  </r>
  <r>
    <s v="TRX-1186"/>
    <s v="2024-11-16"/>
    <x v="0"/>
    <x v="0"/>
    <x v="0"/>
    <s v="Balance Sheet"/>
    <n v="-3135.46"/>
  </r>
  <r>
    <s v="TRX-1193"/>
    <s v="2024-02-02"/>
    <x v="0"/>
    <x v="0"/>
    <x v="0"/>
    <s v="Balance Sheet"/>
    <n v="2865.72"/>
  </r>
  <r>
    <s v="TRX-1196"/>
    <s v="2024-02-15"/>
    <x v="0"/>
    <x v="0"/>
    <x v="0"/>
    <s v="Balance Sheet"/>
    <n v="-1216.77"/>
  </r>
  <r>
    <s v="TRX-1205"/>
    <s v="2024-12-23"/>
    <x v="0"/>
    <x v="0"/>
    <x v="0"/>
    <s v="Balance Sheet"/>
    <n v="2279.5300000000002"/>
  </r>
  <r>
    <s v="TRX-1209"/>
    <s v="2024-05-27"/>
    <x v="0"/>
    <x v="0"/>
    <x v="0"/>
    <s v="Balance Sheet"/>
    <n v="-3462.02"/>
  </r>
  <r>
    <s v="TRX-1210"/>
    <s v="2024-07-22"/>
    <x v="0"/>
    <x v="0"/>
    <x v="0"/>
    <s v="Balance Sheet"/>
    <n v="-1311.9"/>
  </r>
  <r>
    <s v="TRX-1212"/>
    <s v="2024-11-19"/>
    <x v="0"/>
    <x v="0"/>
    <x v="0"/>
    <s v="Balance Sheet"/>
    <n v="-2482.35"/>
  </r>
  <r>
    <s v="TRX-1216"/>
    <s v="2024-06-07"/>
    <x v="0"/>
    <x v="0"/>
    <x v="0"/>
    <s v="Balance Sheet"/>
    <n v="1073.8800000000001"/>
  </r>
  <r>
    <s v="TRX-1218"/>
    <s v="2024-12-04"/>
    <x v="0"/>
    <x v="0"/>
    <x v="0"/>
    <s v="Balance Sheet"/>
    <n v="-4969.9799999999996"/>
  </r>
  <r>
    <s v="TRX-1219"/>
    <s v="2024-09-13"/>
    <x v="0"/>
    <x v="0"/>
    <x v="0"/>
    <s v="Balance Sheet"/>
    <n v="-2066.37"/>
  </r>
  <r>
    <s v="TRX-1222"/>
    <s v="2024-08-16"/>
    <x v="0"/>
    <x v="0"/>
    <x v="0"/>
    <s v="Balance Sheet"/>
    <n v="-4507.75"/>
  </r>
  <r>
    <s v="TRX-1226"/>
    <s v="2024-01-24"/>
    <x v="0"/>
    <x v="0"/>
    <x v="0"/>
    <s v="Balance Sheet"/>
    <n v="3460.7"/>
  </r>
  <r>
    <s v="TRX-1227"/>
    <s v="2024-08-18"/>
    <x v="0"/>
    <x v="0"/>
    <x v="0"/>
    <s v="Balance Sheet"/>
    <n v="-4270.08"/>
  </r>
  <r>
    <s v="TRX-1236"/>
    <s v="2024-01-10"/>
    <x v="0"/>
    <x v="0"/>
    <x v="0"/>
    <s v="Balance Sheet"/>
    <n v="-3188.87"/>
  </r>
  <r>
    <s v="TRX-1239"/>
    <s v="2024-10-14"/>
    <x v="0"/>
    <x v="0"/>
    <x v="0"/>
    <s v="Balance Sheet"/>
    <n v="1326.42"/>
  </r>
  <r>
    <s v="TRX-1244"/>
    <s v="2024-06-02"/>
    <x v="0"/>
    <x v="0"/>
    <x v="0"/>
    <s v="Balance Sheet"/>
    <n v="4345.25"/>
  </r>
  <r>
    <s v="TRX-1245"/>
    <s v="2024-11-24"/>
    <x v="0"/>
    <x v="0"/>
    <x v="0"/>
    <s v="Balance Sheet"/>
    <n v="-4285.7299999999996"/>
  </r>
  <r>
    <s v="TRX-1246"/>
    <s v="2024-07-03"/>
    <x v="0"/>
    <x v="0"/>
    <x v="0"/>
    <s v="Balance Sheet"/>
    <n v="-1116.17"/>
  </r>
  <r>
    <s v="TRX-1250"/>
    <s v="2024-12-16"/>
    <x v="0"/>
    <x v="0"/>
    <x v="0"/>
    <s v="Balance Sheet"/>
    <n v="3896.88"/>
  </r>
  <r>
    <s v="TRX-1262"/>
    <s v="2024-01-18"/>
    <x v="0"/>
    <x v="0"/>
    <x v="0"/>
    <s v="Balance Sheet"/>
    <n v="-2126.52"/>
  </r>
  <r>
    <s v="TRX-1270"/>
    <s v="2024-03-28"/>
    <x v="0"/>
    <x v="0"/>
    <x v="0"/>
    <s v="Balance Sheet"/>
    <n v="4087.53"/>
  </r>
  <r>
    <s v="TRX-1271"/>
    <s v="2024-03-15"/>
    <x v="0"/>
    <x v="0"/>
    <x v="0"/>
    <s v="Balance Sheet"/>
    <n v="-3329.83"/>
  </r>
  <r>
    <s v="TRX-1274"/>
    <s v="2024-09-18"/>
    <x v="0"/>
    <x v="0"/>
    <x v="0"/>
    <s v="Balance Sheet"/>
    <n v="4852.57"/>
  </r>
  <r>
    <s v="TRX-1282"/>
    <s v="2024-06-27"/>
    <x v="0"/>
    <x v="0"/>
    <x v="0"/>
    <s v="Balance Sheet"/>
    <n v="1108.46"/>
  </r>
  <r>
    <s v="TRX-1288"/>
    <s v="2024-10-20"/>
    <x v="0"/>
    <x v="0"/>
    <x v="0"/>
    <s v="Balance Sheet"/>
    <n v="-3837.3"/>
  </r>
  <r>
    <s v="TRX-1290"/>
    <s v="2024-08-06"/>
    <x v="0"/>
    <x v="0"/>
    <x v="0"/>
    <s v="Balance Sheet"/>
    <n v="2989.48"/>
  </r>
  <r>
    <s v="TRX-1291"/>
    <s v="2024-01-02"/>
    <x v="0"/>
    <x v="0"/>
    <x v="0"/>
    <s v="Balance Sheet"/>
    <n v="1299.52"/>
  </r>
  <r>
    <s v="TRX-1292"/>
    <s v="2024-07-26"/>
    <x v="0"/>
    <x v="0"/>
    <x v="0"/>
    <s v="Balance Sheet"/>
    <n v="-2898.7"/>
  </r>
  <r>
    <s v="TRX-1295"/>
    <s v="2024-02-12"/>
    <x v="0"/>
    <x v="0"/>
    <x v="0"/>
    <s v="Balance Sheet"/>
    <n v="-4339.3100000000004"/>
  </r>
  <r>
    <s v="TRX-1297"/>
    <s v="2024-03-25"/>
    <x v="0"/>
    <x v="0"/>
    <x v="0"/>
    <s v="Balance Sheet"/>
    <n v="1521.97"/>
  </r>
  <r>
    <s v="TRX-1298"/>
    <s v="2024-08-11"/>
    <x v="0"/>
    <x v="0"/>
    <x v="0"/>
    <s v="Balance Sheet"/>
    <n v="-1557.7"/>
  </r>
  <r>
    <s v="TRX-1299"/>
    <s v="2024-07-20"/>
    <x v="0"/>
    <x v="0"/>
    <x v="0"/>
    <s v="Balance Sheet"/>
    <n v="4998.17"/>
  </r>
  <r>
    <s v="TRX-1305"/>
    <s v="2024-10-20"/>
    <x v="0"/>
    <x v="0"/>
    <x v="0"/>
    <s v="Balance Sheet"/>
    <n v="3622.7"/>
  </r>
  <r>
    <s v="TRX-1306"/>
    <s v="2024-12-31"/>
    <x v="0"/>
    <x v="0"/>
    <x v="0"/>
    <s v="Balance Sheet"/>
    <n v="-1895.03"/>
  </r>
  <r>
    <s v="TRX-1308"/>
    <s v="2024-03-21"/>
    <x v="0"/>
    <x v="0"/>
    <x v="0"/>
    <s v="Balance Sheet"/>
    <n v="1171.55"/>
  </r>
  <r>
    <s v="TRX-1309"/>
    <s v="2024-11-12"/>
    <x v="0"/>
    <x v="0"/>
    <x v="0"/>
    <s v="Balance Sheet"/>
    <n v="3880.83"/>
  </r>
  <r>
    <s v="TRX-1310"/>
    <s v="2024-02-12"/>
    <x v="0"/>
    <x v="0"/>
    <x v="0"/>
    <s v="Balance Sheet"/>
    <n v="2727.93"/>
  </r>
  <r>
    <s v="TRX-1311"/>
    <s v="2024-07-23"/>
    <x v="0"/>
    <x v="0"/>
    <x v="0"/>
    <s v="Balance Sheet"/>
    <n v="-1367.12"/>
  </r>
  <r>
    <s v="TRX-1316"/>
    <s v="2024-04-30"/>
    <x v="0"/>
    <x v="0"/>
    <x v="0"/>
    <s v="Balance Sheet"/>
    <n v="1904.55"/>
  </r>
  <r>
    <s v="TRX-1317"/>
    <s v="2024-02-04"/>
    <x v="0"/>
    <x v="0"/>
    <x v="0"/>
    <s v="Balance Sheet"/>
    <n v="2346.87"/>
  </r>
  <r>
    <s v="TRX-1320"/>
    <s v="2024-08-25"/>
    <x v="0"/>
    <x v="0"/>
    <x v="0"/>
    <s v="Balance Sheet"/>
    <n v="-1886.39"/>
  </r>
  <r>
    <s v="TRX-1324"/>
    <s v="2024-03-20"/>
    <x v="0"/>
    <x v="0"/>
    <x v="0"/>
    <s v="Balance Sheet"/>
    <n v="-3965.15"/>
  </r>
  <r>
    <s v="TRX-1325"/>
    <s v="2024-09-20"/>
    <x v="0"/>
    <x v="0"/>
    <x v="0"/>
    <s v="Balance Sheet"/>
    <n v="-1896.96"/>
  </r>
  <r>
    <s v="TRX-1327"/>
    <s v="2024-01-12"/>
    <x v="0"/>
    <x v="0"/>
    <x v="0"/>
    <s v="Balance Sheet"/>
    <n v="1845.99"/>
  </r>
  <r>
    <s v="TRX-1329"/>
    <s v="2024-11-02"/>
    <x v="0"/>
    <x v="0"/>
    <x v="0"/>
    <s v="Balance Sheet"/>
    <n v="-4193.12"/>
  </r>
  <r>
    <s v="TRX-1330"/>
    <s v="2024-03-01"/>
    <x v="0"/>
    <x v="0"/>
    <x v="0"/>
    <s v="Balance Sheet"/>
    <n v="4110.47"/>
  </r>
  <r>
    <s v="TRX-1332"/>
    <s v="2024-07-14"/>
    <x v="0"/>
    <x v="0"/>
    <x v="0"/>
    <s v="Balance Sheet"/>
    <n v="-1669.04"/>
  </r>
  <r>
    <s v="TRX-1338"/>
    <s v="2024-11-04"/>
    <x v="0"/>
    <x v="0"/>
    <x v="0"/>
    <s v="Balance Sheet"/>
    <n v="2232.8000000000002"/>
  </r>
  <r>
    <s v="TRX-1339"/>
    <s v="2024-11-27"/>
    <x v="0"/>
    <x v="0"/>
    <x v="0"/>
    <s v="Balance Sheet"/>
    <n v="2310.2600000000002"/>
  </r>
  <r>
    <s v="TRX-1340"/>
    <s v="2024-06-04"/>
    <x v="0"/>
    <x v="0"/>
    <x v="0"/>
    <s v="Balance Sheet"/>
    <n v="-3730.33"/>
  </r>
  <r>
    <s v="TRX-1344"/>
    <s v="2024-02-18"/>
    <x v="0"/>
    <x v="0"/>
    <x v="0"/>
    <s v="Balance Sheet"/>
    <n v="-1494.36"/>
  </r>
  <r>
    <s v="TRX-1345"/>
    <s v="2024-03-02"/>
    <x v="0"/>
    <x v="0"/>
    <x v="0"/>
    <s v="Balance Sheet"/>
    <n v="2612.08"/>
  </r>
  <r>
    <s v="TRX-1347"/>
    <s v="2024-09-18"/>
    <x v="0"/>
    <x v="0"/>
    <x v="0"/>
    <s v="Balance Sheet"/>
    <n v="2105.02"/>
  </r>
  <r>
    <s v="TRX-1349"/>
    <s v="2024-10-15"/>
    <x v="0"/>
    <x v="0"/>
    <x v="0"/>
    <s v="Balance Sheet"/>
    <n v="2517.0300000000002"/>
  </r>
  <r>
    <s v="TRX-1351"/>
    <s v="2024-03-01"/>
    <x v="0"/>
    <x v="0"/>
    <x v="0"/>
    <s v="Balance Sheet"/>
    <n v="-3740.89"/>
  </r>
  <r>
    <s v="TRX-1352"/>
    <s v="2024-03-25"/>
    <x v="0"/>
    <x v="0"/>
    <x v="0"/>
    <s v="Balance Sheet"/>
    <n v="-1095.68"/>
  </r>
  <r>
    <s v="TRX-1354"/>
    <s v="2024-11-17"/>
    <x v="0"/>
    <x v="0"/>
    <x v="0"/>
    <s v="Balance Sheet"/>
    <n v="-4900.04"/>
  </r>
  <r>
    <s v="TRX-1355"/>
    <s v="2024-03-26"/>
    <x v="0"/>
    <x v="0"/>
    <x v="0"/>
    <s v="Balance Sheet"/>
    <n v="2025.34"/>
  </r>
  <r>
    <s v="TRX-1356"/>
    <s v="2024-12-25"/>
    <x v="0"/>
    <x v="0"/>
    <x v="0"/>
    <s v="Balance Sheet"/>
    <n v="-4726.7299999999996"/>
  </r>
  <r>
    <s v="TRX-1358"/>
    <s v="2024-12-25"/>
    <x v="0"/>
    <x v="0"/>
    <x v="0"/>
    <s v="Balance Sheet"/>
    <n v="1286.68"/>
  </r>
  <r>
    <s v="TRX-1360"/>
    <s v="2024-08-14"/>
    <x v="0"/>
    <x v="0"/>
    <x v="0"/>
    <s v="Balance Sheet"/>
    <n v="1408.29"/>
  </r>
  <r>
    <s v="TRX-1361"/>
    <s v="2024-03-10"/>
    <x v="0"/>
    <x v="0"/>
    <x v="0"/>
    <s v="Balance Sheet"/>
    <n v="-4972.9399999999996"/>
  </r>
  <r>
    <s v="TRX-1363"/>
    <s v="2024-06-09"/>
    <x v="0"/>
    <x v="0"/>
    <x v="0"/>
    <s v="Balance Sheet"/>
    <n v="-4052.32"/>
  </r>
  <r>
    <s v="TRX-1364"/>
    <s v="2024-02-20"/>
    <x v="0"/>
    <x v="0"/>
    <x v="0"/>
    <s v="Balance Sheet"/>
    <n v="-2322.3200000000002"/>
  </r>
  <r>
    <s v="TRX-1365"/>
    <s v="2024-05-30"/>
    <x v="0"/>
    <x v="0"/>
    <x v="0"/>
    <s v="Balance Sheet"/>
    <n v="-2528.5"/>
  </r>
  <r>
    <s v="TRX-1367"/>
    <s v="2024-05-07"/>
    <x v="0"/>
    <x v="0"/>
    <x v="0"/>
    <s v="Balance Sheet"/>
    <n v="-3517.07"/>
  </r>
  <r>
    <s v="TRX-1374"/>
    <s v="2024-07-02"/>
    <x v="0"/>
    <x v="0"/>
    <x v="0"/>
    <s v="Balance Sheet"/>
    <n v="-3230"/>
  </r>
  <r>
    <s v="TRX-1375"/>
    <s v="2024-12-04"/>
    <x v="0"/>
    <x v="0"/>
    <x v="0"/>
    <s v="Balance Sheet"/>
    <n v="-1767.43"/>
  </r>
  <r>
    <s v="TRX-1377"/>
    <s v="2024-10-05"/>
    <x v="0"/>
    <x v="0"/>
    <x v="0"/>
    <s v="Balance Sheet"/>
    <n v="3723.68"/>
  </r>
  <r>
    <s v="TRX-1379"/>
    <s v="2024-04-04"/>
    <x v="0"/>
    <x v="0"/>
    <x v="0"/>
    <s v="Balance Sheet"/>
    <n v="3016.59"/>
  </r>
  <r>
    <s v="TRX-1381"/>
    <s v="2024-07-25"/>
    <x v="0"/>
    <x v="0"/>
    <x v="0"/>
    <s v="Balance Sheet"/>
    <n v="4690.66"/>
  </r>
  <r>
    <s v="TRX-1383"/>
    <s v="2024-03-10"/>
    <x v="0"/>
    <x v="0"/>
    <x v="0"/>
    <s v="Balance Sheet"/>
    <n v="1425.8"/>
  </r>
  <r>
    <s v="TRX-1384"/>
    <s v="2024-02-22"/>
    <x v="0"/>
    <x v="0"/>
    <x v="0"/>
    <s v="Balance Sheet"/>
    <n v="1050.81"/>
  </r>
  <r>
    <s v="TRX-1385"/>
    <s v="2024-05-04"/>
    <x v="0"/>
    <x v="0"/>
    <x v="0"/>
    <s v="Balance Sheet"/>
    <n v="1709.5"/>
  </r>
  <r>
    <s v="TRX-1387"/>
    <s v="2024-11-10"/>
    <x v="0"/>
    <x v="0"/>
    <x v="0"/>
    <s v="Balance Sheet"/>
    <n v="4509.46"/>
  </r>
  <r>
    <s v="TRX-1390"/>
    <s v="2024-03-07"/>
    <x v="0"/>
    <x v="0"/>
    <x v="0"/>
    <s v="Balance Sheet"/>
    <n v="-1026.99"/>
  </r>
  <r>
    <s v="TRX-1391"/>
    <s v="2024-05-10"/>
    <x v="0"/>
    <x v="0"/>
    <x v="0"/>
    <s v="Balance Sheet"/>
    <n v="-1912.51"/>
  </r>
  <r>
    <s v="TRX-1393"/>
    <s v="2024-07-17"/>
    <x v="0"/>
    <x v="0"/>
    <x v="0"/>
    <s v="Balance Sheet"/>
    <n v="4295.7"/>
  </r>
  <r>
    <s v="TRX-1395"/>
    <s v="2024-09-22"/>
    <x v="0"/>
    <x v="0"/>
    <x v="0"/>
    <s v="Balance Sheet"/>
    <n v="1078.28"/>
  </r>
  <r>
    <s v="TRX-1396"/>
    <s v="2024-11-13"/>
    <x v="0"/>
    <x v="0"/>
    <x v="0"/>
    <s v="Balance Sheet"/>
    <n v="4125.57"/>
  </r>
  <r>
    <s v="TRX-1398"/>
    <s v="2024-05-22"/>
    <x v="0"/>
    <x v="0"/>
    <x v="0"/>
    <s v="Balance Sheet"/>
    <n v="1484.3"/>
  </r>
  <r>
    <s v="TRX-1402"/>
    <s v="2024-11-14"/>
    <x v="0"/>
    <x v="0"/>
    <x v="0"/>
    <s v="Balance Sheet"/>
    <n v="-2422.71"/>
  </r>
  <r>
    <s v="TRX-1404"/>
    <s v="2024-01-28"/>
    <x v="0"/>
    <x v="0"/>
    <x v="0"/>
    <s v="Balance Sheet"/>
    <n v="1813.26"/>
  </r>
  <r>
    <s v="TRX-1407"/>
    <s v="2024-12-18"/>
    <x v="0"/>
    <x v="0"/>
    <x v="0"/>
    <s v="Balance Sheet"/>
    <n v="-3131.93"/>
  </r>
  <r>
    <s v="TRX-1408"/>
    <s v="2024-12-09"/>
    <x v="0"/>
    <x v="0"/>
    <x v="0"/>
    <s v="Balance Sheet"/>
    <n v="3174.98"/>
  </r>
  <r>
    <s v="TRX-1411"/>
    <s v="2024-05-12"/>
    <x v="0"/>
    <x v="0"/>
    <x v="0"/>
    <s v="Balance Sheet"/>
    <n v="2544.21"/>
  </r>
  <r>
    <s v="TRX-1413"/>
    <s v="2024-03-01"/>
    <x v="0"/>
    <x v="0"/>
    <x v="0"/>
    <s v="Balance Sheet"/>
    <n v="-1182.58"/>
  </r>
  <r>
    <s v="TRX-1417"/>
    <s v="2024-06-17"/>
    <x v="0"/>
    <x v="0"/>
    <x v="0"/>
    <s v="Balance Sheet"/>
    <n v="-2086.52"/>
  </r>
  <r>
    <s v="TRX-1418"/>
    <s v="2024-08-28"/>
    <x v="0"/>
    <x v="0"/>
    <x v="0"/>
    <s v="Balance Sheet"/>
    <n v="-4325.66"/>
  </r>
  <r>
    <s v="TRX-1425"/>
    <s v="2024-09-28"/>
    <x v="0"/>
    <x v="0"/>
    <x v="0"/>
    <s v="Balance Sheet"/>
    <n v="-2461.96"/>
  </r>
  <r>
    <s v="TRX-1430"/>
    <s v="2024-01-10"/>
    <x v="0"/>
    <x v="0"/>
    <x v="0"/>
    <s v="Balance Sheet"/>
    <n v="-4553.8500000000004"/>
  </r>
  <r>
    <s v="TRX-1433"/>
    <s v="2024-07-18"/>
    <x v="0"/>
    <x v="0"/>
    <x v="0"/>
    <s v="Balance Sheet"/>
    <n v="-2145.5700000000002"/>
  </r>
  <r>
    <s v="TRX-1435"/>
    <s v="2024-09-25"/>
    <x v="0"/>
    <x v="0"/>
    <x v="0"/>
    <s v="Balance Sheet"/>
    <n v="-1919.54"/>
  </r>
  <r>
    <s v="TRX-1437"/>
    <s v="2024-01-02"/>
    <x v="0"/>
    <x v="0"/>
    <x v="0"/>
    <s v="Balance Sheet"/>
    <n v="-4801.09"/>
  </r>
  <r>
    <s v="TRX-1443"/>
    <s v="2024-10-09"/>
    <x v="0"/>
    <x v="0"/>
    <x v="0"/>
    <s v="Balance Sheet"/>
    <n v="3417.48"/>
  </r>
  <r>
    <s v="TRX-1445"/>
    <s v="2024-09-22"/>
    <x v="0"/>
    <x v="0"/>
    <x v="0"/>
    <s v="Balance Sheet"/>
    <n v="2171.61"/>
  </r>
  <r>
    <s v="TRX-1446"/>
    <s v="2024-05-20"/>
    <x v="0"/>
    <x v="0"/>
    <x v="0"/>
    <s v="Balance Sheet"/>
    <n v="1121.81"/>
  </r>
  <r>
    <s v="TRX-1447"/>
    <s v="2024-11-12"/>
    <x v="0"/>
    <x v="0"/>
    <x v="0"/>
    <s v="Balance Sheet"/>
    <n v="4020.32"/>
  </r>
  <r>
    <s v="TRX-1449"/>
    <s v="2024-02-09"/>
    <x v="0"/>
    <x v="0"/>
    <x v="0"/>
    <s v="Balance Sheet"/>
    <n v="-4936.2"/>
  </r>
  <r>
    <s v="TRX-1450"/>
    <s v="2024-11-30"/>
    <x v="0"/>
    <x v="0"/>
    <x v="0"/>
    <s v="Balance Sheet"/>
    <n v="1726.37"/>
  </r>
  <r>
    <s v="TRX-1453"/>
    <s v="2024-12-10"/>
    <x v="0"/>
    <x v="0"/>
    <x v="0"/>
    <s v="Balance Sheet"/>
    <n v="1084.79"/>
  </r>
  <r>
    <s v="TRX-1456"/>
    <s v="2024-01-10"/>
    <x v="0"/>
    <x v="0"/>
    <x v="0"/>
    <s v="Balance Sheet"/>
    <n v="3401.86"/>
  </r>
  <r>
    <s v="TRX-1457"/>
    <s v="2024-12-06"/>
    <x v="0"/>
    <x v="0"/>
    <x v="0"/>
    <s v="Balance Sheet"/>
    <n v="1002.52"/>
  </r>
  <r>
    <s v="TRX-1458"/>
    <s v="2024-04-12"/>
    <x v="0"/>
    <x v="0"/>
    <x v="0"/>
    <s v="Balance Sheet"/>
    <n v="-3040.94"/>
  </r>
  <r>
    <s v="TRX-1463"/>
    <s v="2024-10-14"/>
    <x v="0"/>
    <x v="0"/>
    <x v="0"/>
    <s v="Balance Sheet"/>
    <n v="3505.82"/>
  </r>
  <r>
    <s v="TRX-1465"/>
    <s v="2024-04-02"/>
    <x v="0"/>
    <x v="0"/>
    <x v="0"/>
    <s v="Balance Sheet"/>
    <n v="1268.2"/>
  </r>
  <r>
    <s v="TRX-1467"/>
    <s v="2024-11-22"/>
    <x v="0"/>
    <x v="0"/>
    <x v="0"/>
    <s v="Balance Sheet"/>
    <n v="-3570.27"/>
  </r>
  <r>
    <s v="TRX-1469"/>
    <s v="2024-10-20"/>
    <x v="0"/>
    <x v="0"/>
    <x v="0"/>
    <s v="Balance Sheet"/>
    <n v="2983.25"/>
  </r>
  <r>
    <s v="TRX-1470"/>
    <s v="2024-01-22"/>
    <x v="0"/>
    <x v="0"/>
    <x v="0"/>
    <s v="Balance Sheet"/>
    <n v="3689.18"/>
  </r>
  <r>
    <s v="TRX-1476"/>
    <s v="2024-02-19"/>
    <x v="0"/>
    <x v="0"/>
    <x v="0"/>
    <s v="Balance Sheet"/>
    <n v="2997.3"/>
  </r>
  <r>
    <s v="TRX-1477"/>
    <s v="2024-08-12"/>
    <x v="0"/>
    <x v="0"/>
    <x v="0"/>
    <s v="Balance Sheet"/>
    <n v="-4007.93"/>
  </r>
  <r>
    <s v="TRX-1478"/>
    <s v="2024-02-08"/>
    <x v="0"/>
    <x v="0"/>
    <x v="0"/>
    <s v="Balance Sheet"/>
    <n v="-3086.36"/>
  </r>
  <r>
    <s v="TRX-1486"/>
    <s v="2024-04-29"/>
    <x v="0"/>
    <x v="0"/>
    <x v="0"/>
    <s v="Balance Sheet"/>
    <n v="-2842.21"/>
  </r>
  <r>
    <s v="TRX-1488"/>
    <s v="2024-10-20"/>
    <x v="0"/>
    <x v="0"/>
    <x v="0"/>
    <s v="Balance Sheet"/>
    <n v="3697.75"/>
  </r>
  <r>
    <s v="TRX-1490"/>
    <s v="2024-05-26"/>
    <x v="0"/>
    <x v="0"/>
    <x v="0"/>
    <s v="Balance Sheet"/>
    <n v="2412.5700000000002"/>
  </r>
  <r>
    <s v="TRX-1491"/>
    <s v="2024-08-08"/>
    <x v="0"/>
    <x v="0"/>
    <x v="0"/>
    <s v="Balance Sheet"/>
    <n v="3933.24"/>
  </r>
  <r>
    <s v="TRX-1494"/>
    <s v="2024-09-18"/>
    <x v="0"/>
    <x v="0"/>
    <x v="0"/>
    <s v="Balance Sheet"/>
    <n v="-4323.3500000000004"/>
  </r>
  <r>
    <s v="TRX-1496"/>
    <s v="2024-12-11"/>
    <x v="0"/>
    <x v="0"/>
    <x v="0"/>
    <s v="Balance Sheet"/>
    <n v="-3838.01"/>
  </r>
  <r>
    <s v="TRX-1498"/>
    <s v="2024-10-28"/>
    <x v="0"/>
    <x v="0"/>
    <x v="0"/>
    <s v="Balance Sheet"/>
    <n v="1647.23"/>
  </r>
  <r>
    <s v="TRX-1001"/>
    <s v="2024-05-29"/>
    <x v="1"/>
    <x v="1"/>
    <x v="0"/>
    <s v="Balance Sheet"/>
    <n v="3834.48"/>
  </r>
  <r>
    <s v="TRX-1002"/>
    <s v="2024-10-19"/>
    <x v="1"/>
    <x v="1"/>
    <x v="0"/>
    <s v="Balance Sheet"/>
    <n v="-147.66999999999999"/>
  </r>
  <r>
    <s v="TRX-1004"/>
    <s v="2024-02-13"/>
    <x v="1"/>
    <x v="1"/>
    <x v="0"/>
    <s v="Balance Sheet"/>
    <n v="1622.9"/>
  </r>
  <r>
    <s v="TRX-1005"/>
    <s v="2024-02-21"/>
    <x v="1"/>
    <x v="1"/>
    <x v="0"/>
    <s v="Balance Sheet"/>
    <n v="-509.4"/>
  </r>
  <r>
    <s v="TRX-1007"/>
    <s v="2024-04-02"/>
    <x v="1"/>
    <x v="1"/>
    <x v="0"/>
    <s v="Balance Sheet"/>
    <n v="-862.15"/>
  </r>
  <r>
    <s v="TRX-1012"/>
    <s v="2024-07-01"/>
    <x v="1"/>
    <x v="1"/>
    <x v="0"/>
    <s v="Balance Sheet"/>
    <n v="-208.82"/>
  </r>
  <r>
    <s v="TRX-1015"/>
    <s v="2024-02-15"/>
    <x v="1"/>
    <x v="1"/>
    <x v="0"/>
    <s v="Balance Sheet"/>
    <n v="-900.09"/>
  </r>
  <r>
    <s v="TRX-1017"/>
    <s v="2024-09-05"/>
    <x v="1"/>
    <x v="1"/>
    <x v="0"/>
    <s v="Balance Sheet"/>
    <n v="-996.89"/>
  </r>
  <r>
    <s v="TRX-1018"/>
    <s v="2024-01-30"/>
    <x v="1"/>
    <x v="1"/>
    <x v="0"/>
    <s v="Balance Sheet"/>
    <n v="-689.3"/>
  </r>
  <r>
    <s v="TRX-1019"/>
    <s v="2024-10-03"/>
    <x v="1"/>
    <x v="1"/>
    <x v="0"/>
    <s v="Balance Sheet"/>
    <n v="-513.66999999999996"/>
  </r>
  <r>
    <s v="TRX-1021"/>
    <s v="2024-04-07"/>
    <x v="1"/>
    <x v="1"/>
    <x v="0"/>
    <s v="Balance Sheet"/>
    <n v="4475.3"/>
  </r>
  <r>
    <s v="TRX-1023"/>
    <s v="2024-02-15"/>
    <x v="1"/>
    <x v="1"/>
    <x v="0"/>
    <s v="Balance Sheet"/>
    <n v="1565.61"/>
  </r>
  <r>
    <s v="TRX-1024"/>
    <s v="2024-06-28"/>
    <x v="1"/>
    <x v="1"/>
    <x v="0"/>
    <s v="Balance Sheet"/>
    <n v="-574.17999999999995"/>
  </r>
  <r>
    <s v="TRX-1025"/>
    <s v="2024-12-06"/>
    <x v="1"/>
    <x v="1"/>
    <x v="0"/>
    <s v="Balance Sheet"/>
    <n v="-806.72"/>
  </r>
  <r>
    <s v="TRX-1027"/>
    <s v="2024-02-10"/>
    <x v="1"/>
    <x v="1"/>
    <x v="0"/>
    <s v="Balance Sheet"/>
    <n v="1424.32"/>
  </r>
  <r>
    <s v="TRX-1029"/>
    <s v="2024-11-15"/>
    <x v="1"/>
    <x v="1"/>
    <x v="0"/>
    <s v="Balance Sheet"/>
    <n v="2537.58"/>
  </r>
  <r>
    <s v="TRX-1035"/>
    <s v="2024-02-27"/>
    <x v="1"/>
    <x v="1"/>
    <x v="0"/>
    <s v="Balance Sheet"/>
    <n v="-645.87"/>
  </r>
  <r>
    <s v="TRX-1038"/>
    <s v="2024-05-20"/>
    <x v="1"/>
    <x v="1"/>
    <x v="0"/>
    <s v="Balance Sheet"/>
    <n v="2299.71"/>
  </r>
  <r>
    <s v="TRX-1043"/>
    <s v="2024-06-13"/>
    <x v="1"/>
    <x v="1"/>
    <x v="0"/>
    <s v="Balance Sheet"/>
    <n v="4087.97"/>
  </r>
  <r>
    <s v="TRX-1049"/>
    <s v="2024-01-28"/>
    <x v="1"/>
    <x v="1"/>
    <x v="0"/>
    <s v="Balance Sheet"/>
    <n v="3944.21"/>
  </r>
  <r>
    <s v="TRX-1052"/>
    <s v="2024-08-14"/>
    <x v="1"/>
    <x v="1"/>
    <x v="0"/>
    <s v="Balance Sheet"/>
    <n v="-143.04"/>
  </r>
  <r>
    <s v="TRX-1057"/>
    <s v="2024-01-29"/>
    <x v="1"/>
    <x v="1"/>
    <x v="0"/>
    <s v="Balance Sheet"/>
    <n v="-590.46"/>
  </r>
  <r>
    <s v="TRX-1058"/>
    <s v="2024-08-02"/>
    <x v="1"/>
    <x v="1"/>
    <x v="0"/>
    <s v="Balance Sheet"/>
    <n v="3231.25"/>
  </r>
  <r>
    <s v="TRX-1061"/>
    <s v="2024-06-03"/>
    <x v="1"/>
    <x v="1"/>
    <x v="0"/>
    <s v="Balance Sheet"/>
    <n v="-990.05"/>
  </r>
  <r>
    <s v="TRX-1063"/>
    <s v="2024-08-10"/>
    <x v="1"/>
    <x v="1"/>
    <x v="0"/>
    <s v="Balance Sheet"/>
    <n v="1147.1300000000001"/>
  </r>
  <r>
    <s v="TRX-1069"/>
    <s v="2024-08-27"/>
    <x v="1"/>
    <x v="1"/>
    <x v="0"/>
    <s v="Balance Sheet"/>
    <n v="4182.21"/>
  </r>
  <r>
    <s v="TRX-1072"/>
    <s v="2024-02-07"/>
    <x v="1"/>
    <x v="1"/>
    <x v="0"/>
    <s v="Balance Sheet"/>
    <n v="4234.49"/>
  </r>
  <r>
    <s v="TRX-1076"/>
    <s v="2024-01-26"/>
    <x v="1"/>
    <x v="1"/>
    <x v="0"/>
    <s v="Balance Sheet"/>
    <n v="4849.08"/>
  </r>
  <r>
    <s v="TRX-1081"/>
    <s v="2024-12-02"/>
    <x v="1"/>
    <x v="1"/>
    <x v="0"/>
    <s v="Balance Sheet"/>
    <n v="-481.87"/>
  </r>
  <r>
    <s v="TRX-1082"/>
    <s v="2024-05-04"/>
    <x v="1"/>
    <x v="1"/>
    <x v="0"/>
    <s v="Balance Sheet"/>
    <n v="-737.81"/>
  </r>
  <r>
    <s v="TRX-1083"/>
    <s v="2024-12-27"/>
    <x v="1"/>
    <x v="1"/>
    <x v="0"/>
    <s v="Balance Sheet"/>
    <n v="-686.88"/>
  </r>
  <r>
    <s v="TRX-1087"/>
    <s v="2024-07-12"/>
    <x v="1"/>
    <x v="1"/>
    <x v="0"/>
    <s v="Balance Sheet"/>
    <n v="-887.98"/>
  </r>
  <r>
    <s v="TRX-1090"/>
    <s v="2024-09-13"/>
    <x v="1"/>
    <x v="1"/>
    <x v="0"/>
    <s v="Balance Sheet"/>
    <n v="1796.07"/>
  </r>
  <r>
    <s v="TRX-1092"/>
    <s v="2024-08-02"/>
    <x v="1"/>
    <x v="1"/>
    <x v="0"/>
    <s v="Balance Sheet"/>
    <n v="-945.22"/>
  </r>
  <r>
    <s v="TRX-1094"/>
    <s v="2024-06-03"/>
    <x v="1"/>
    <x v="1"/>
    <x v="0"/>
    <s v="Balance Sheet"/>
    <n v="4468.43"/>
  </r>
  <r>
    <s v="TRX-1095"/>
    <s v="2024-01-26"/>
    <x v="1"/>
    <x v="1"/>
    <x v="0"/>
    <s v="Balance Sheet"/>
    <n v="4363.9799999999996"/>
  </r>
  <r>
    <s v="TRX-1096"/>
    <s v="2024-02-14"/>
    <x v="1"/>
    <x v="1"/>
    <x v="0"/>
    <s v="Balance Sheet"/>
    <n v="3022.93"/>
  </r>
  <r>
    <s v="TRX-1097"/>
    <s v="2024-01-30"/>
    <x v="1"/>
    <x v="1"/>
    <x v="0"/>
    <s v="Balance Sheet"/>
    <n v="1023.31"/>
  </r>
  <r>
    <s v="TRX-1098"/>
    <s v="2024-04-01"/>
    <x v="1"/>
    <x v="1"/>
    <x v="0"/>
    <s v="Balance Sheet"/>
    <n v="4912.8"/>
  </r>
  <r>
    <s v="TRX-1100"/>
    <s v="2024-02-18"/>
    <x v="1"/>
    <x v="1"/>
    <x v="0"/>
    <s v="Balance Sheet"/>
    <n v="2330.92"/>
  </r>
  <r>
    <s v="TRX-1101"/>
    <s v="2024-03-28"/>
    <x v="1"/>
    <x v="1"/>
    <x v="0"/>
    <s v="Balance Sheet"/>
    <n v="4228.58"/>
  </r>
  <r>
    <s v="TRX-1117"/>
    <s v="2024-05-29"/>
    <x v="1"/>
    <x v="1"/>
    <x v="0"/>
    <s v="Balance Sheet"/>
    <n v="4956.3100000000004"/>
  </r>
  <r>
    <s v="TRX-1119"/>
    <s v="2024-02-03"/>
    <x v="1"/>
    <x v="1"/>
    <x v="0"/>
    <s v="Balance Sheet"/>
    <n v="-196.06"/>
  </r>
  <r>
    <s v="TRX-1128"/>
    <s v="2024-04-09"/>
    <x v="1"/>
    <x v="1"/>
    <x v="0"/>
    <s v="Balance Sheet"/>
    <n v="-199.57"/>
  </r>
  <r>
    <s v="TRX-1129"/>
    <s v="2024-01-16"/>
    <x v="1"/>
    <x v="1"/>
    <x v="0"/>
    <s v="Balance Sheet"/>
    <n v="4804.92"/>
  </r>
  <r>
    <s v="TRX-1134"/>
    <s v="2024-07-15"/>
    <x v="1"/>
    <x v="1"/>
    <x v="0"/>
    <s v="Balance Sheet"/>
    <n v="4008.02"/>
  </r>
  <r>
    <s v="TRX-1137"/>
    <s v="2024-06-20"/>
    <x v="1"/>
    <x v="1"/>
    <x v="0"/>
    <s v="Balance Sheet"/>
    <n v="-949.45"/>
  </r>
  <r>
    <s v="TRX-1138"/>
    <s v="2024-12-09"/>
    <x v="1"/>
    <x v="1"/>
    <x v="0"/>
    <s v="Balance Sheet"/>
    <n v="-806.47"/>
  </r>
  <r>
    <s v="TRX-1142"/>
    <s v="2024-11-04"/>
    <x v="1"/>
    <x v="1"/>
    <x v="0"/>
    <s v="Balance Sheet"/>
    <n v="-593"/>
  </r>
  <r>
    <s v="TRX-1144"/>
    <s v="2024-07-03"/>
    <x v="1"/>
    <x v="1"/>
    <x v="0"/>
    <s v="Balance Sheet"/>
    <n v="4891.46"/>
  </r>
  <r>
    <s v="TRX-1146"/>
    <s v="2024-07-04"/>
    <x v="1"/>
    <x v="1"/>
    <x v="0"/>
    <s v="Balance Sheet"/>
    <n v="-533.33000000000004"/>
  </r>
  <r>
    <s v="TRX-1150"/>
    <s v="2024-09-07"/>
    <x v="1"/>
    <x v="1"/>
    <x v="0"/>
    <s v="Balance Sheet"/>
    <n v="2539.3000000000002"/>
  </r>
  <r>
    <s v="TRX-1151"/>
    <s v="2024-05-08"/>
    <x v="1"/>
    <x v="1"/>
    <x v="0"/>
    <s v="Balance Sheet"/>
    <n v="1320.93"/>
  </r>
  <r>
    <s v="TRX-1160"/>
    <s v="2024-06-10"/>
    <x v="1"/>
    <x v="1"/>
    <x v="0"/>
    <s v="Balance Sheet"/>
    <n v="3945.87"/>
  </r>
  <r>
    <s v="TRX-1168"/>
    <s v="2024-01-25"/>
    <x v="1"/>
    <x v="1"/>
    <x v="0"/>
    <s v="Balance Sheet"/>
    <n v="-973.19"/>
  </r>
  <r>
    <s v="TRX-1174"/>
    <s v="2024-10-04"/>
    <x v="1"/>
    <x v="1"/>
    <x v="0"/>
    <s v="Balance Sheet"/>
    <n v="4026.21"/>
  </r>
  <r>
    <s v="TRX-1175"/>
    <s v="2024-05-15"/>
    <x v="1"/>
    <x v="1"/>
    <x v="0"/>
    <s v="Balance Sheet"/>
    <n v="3291.58"/>
  </r>
  <r>
    <s v="TRX-1181"/>
    <s v="2024-08-12"/>
    <x v="1"/>
    <x v="1"/>
    <x v="0"/>
    <s v="Balance Sheet"/>
    <n v="-533.78"/>
  </r>
  <r>
    <s v="TRX-1182"/>
    <s v="2024-09-17"/>
    <x v="1"/>
    <x v="1"/>
    <x v="0"/>
    <s v="Balance Sheet"/>
    <n v="3313.94"/>
  </r>
  <r>
    <s v="TRX-1186"/>
    <s v="2024-11-16"/>
    <x v="1"/>
    <x v="1"/>
    <x v="0"/>
    <s v="Balance Sheet"/>
    <n v="3135.46"/>
  </r>
  <r>
    <s v="TRX-1188"/>
    <s v="2024-01-12"/>
    <x v="1"/>
    <x v="1"/>
    <x v="0"/>
    <s v="Balance Sheet"/>
    <n v="-966.68"/>
  </r>
  <r>
    <s v="TRX-1191"/>
    <s v="2024-12-18"/>
    <x v="1"/>
    <x v="1"/>
    <x v="0"/>
    <s v="Balance Sheet"/>
    <n v="-530.64"/>
  </r>
  <r>
    <s v="TRX-1195"/>
    <s v="2024-11-11"/>
    <x v="1"/>
    <x v="1"/>
    <x v="0"/>
    <s v="Balance Sheet"/>
    <n v="-440.06"/>
  </r>
  <r>
    <s v="TRX-1196"/>
    <s v="2024-02-15"/>
    <x v="1"/>
    <x v="1"/>
    <x v="0"/>
    <s v="Balance Sheet"/>
    <n v="1216.77"/>
  </r>
  <r>
    <s v="TRX-1203"/>
    <s v="2024-03-03"/>
    <x v="1"/>
    <x v="1"/>
    <x v="0"/>
    <s v="Balance Sheet"/>
    <n v="-242.36"/>
  </r>
  <r>
    <s v="TRX-1207"/>
    <s v="2024-01-01"/>
    <x v="1"/>
    <x v="1"/>
    <x v="0"/>
    <s v="Balance Sheet"/>
    <n v="-285.76"/>
  </r>
  <r>
    <s v="TRX-1209"/>
    <s v="2024-05-27"/>
    <x v="1"/>
    <x v="1"/>
    <x v="0"/>
    <s v="Balance Sheet"/>
    <n v="3462.02"/>
  </r>
  <r>
    <s v="TRX-1210"/>
    <s v="2024-07-22"/>
    <x v="1"/>
    <x v="1"/>
    <x v="0"/>
    <s v="Balance Sheet"/>
    <n v="1311.9"/>
  </r>
  <r>
    <s v="TRX-1212"/>
    <s v="2024-11-19"/>
    <x v="1"/>
    <x v="1"/>
    <x v="0"/>
    <s v="Balance Sheet"/>
    <n v="2482.35"/>
  </r>
  <r>
    <s v="TRX-1215"/>
    <s v="2024-10-07"/>
    <x v="1"/>
    <x v="1"/>
    <x v="0"/>
    <s v="Balance Sheet"/>
    <n v="-193.87"/>
  </r>
  <r>
    <s v="TRX-1218"/>
    <s v="2024-12-04"/>
    <x v="1"/>
    <x v="1"/>
    <x v="0"/>
    <s v="Balance Sheet"/>
    <n v="4969.9799999999996"/>
  </r>
  <r>
    <s v="TRX-1219"/>
    <s v="2024-09-13"/>
    <x v="1"/>
    <x v="1"/>
    <x v="0"/>
    <s v="Balance Sheet"/>
    <n v="2066.37"/>
  </r>
  <r>
    <s v="TRX-1220"/>
    <s v="2024-09-10"/>
    <x v="1"/>
    <x v="1"/>
    <x v="0"/>
    <s v="Balance Sheet"/>
    <n v="-831.38"/>
  </r>
  <r>
    <s v="TRX-1221"/>
    <s v="2024-08-12"/>
    <x v="1"/>
    <x v="1"/>
    <x v="0"/>
    <s v="Balance Sheet"/>
    <n v="-299.12"/>
  </r>
  <r>
    <s v="TRX-1222"/>
    <s v="2024-08-16"/>
    <x v="1"/>
    <x v="1"/>
    <x v="0"/>
    <s v="Balance Sheet"/>
    <n v="4507.75"/>
  </r>
  <r>
    <s v="TRX-1227"/>
    <s v="2024-08-18"/>
    <x v="1"/>
    <x v="1"/>
    <x v="0"/>
    <s v="Balance Sheet"/>
    <n v="4270.08"/>
  </r>
  <r>
    <s v="TRX-1232"/>
    <s v="2024-04-05"/>
    <x v="1"/>
    <x v="1"/>
    <x v="0"/>
    <s v="Balance Sheet"/>
    <n v="-610.33000000000004"/>
  </r>
  <r>
    <s v="TRX-1236"/>
    <s v="2024-01-10"/>
    <x v="1"/>
    <x v="1"/>
    <x v="0"/>
    <s v="Balance Sheet"/>
    <n v="3188.87"/>
  </r>
  <r>
    <s v="TRX-1240"/>
    <s v="2024-11-16"/>
    <x v="1"/>
    <x v="1"/>
    <x v="0"/>
    <s v="Balance Sheet"/>
    <n v="-942.6"/>
  </r>
  <r>
    <s v="TRX-1241"/>
    <s v="2024-10-27"/>
    <x v="1"/>
    <x v="1"/>
    <x v="0"/>
    <s v="Balance Sheet"/>
    <n v="-930.28"/>
  </r>
  <r>
    <s v="TRX-1243"/>
    <s v="2024-06-19"/>
    <x v="1"/>
    <x v="1"/>
    <x v="0"/>
    <s v="Balance Sheet"/>
    <n v="-214.02"/>
  </r>
  <r>
    <s v="TRX-1245"/>
    <s v="2024-11-24"/>
    <x v="1"/>
    <x v="1"/>
    <x v="0"/>
    <s v="Balance Sheet"/>
    <n v="4285.7299999999996"/>
  </r>
  <r>
    <s v="TRX-1246"/>
    <s v="2024-07-03"/>
    <x v="1"/>
    <x v="1"/>
    <x v="0"/>
    <s v="Balance Sheet"/>
    <n v="1116.17"/>
  </r>
  <r>
    <s v="TRX-1262"/>
    <s v="2024-01-18"/>
    <x v="1"/>
    <x v="1"/>
    <x v="0"/>
    <s v="Balance Sheet"/>
    <n v="2126.52"/>
  </r>
  <r>
    <s v="TRX-1268"/>
    <s v="2024-09-22"/>
    <x v="1"/>
    <x v="1"/>
    <x v="0"/>
    <s v="Balance Sheet"/>
    <n v="-506.47"/>
  </r>
  <r>
    <s v="TRX-1271"/>
    <s v="2024-03-15"/>
    <x v="1"/>
    <x v="1"/>
    <x v="0"/>
    <s v="Balance Sheet"/>
    <n v="3329.83"/>
  </r>
  <r>
    <s v="TRX-1272"/>
    <s v="2024-02-20"/>
    <x v="1"/>
    <x v="1"/>
    <x v="0"/>
    <s v="Balance Sheet"/>
    <n v="-131.4"/>
  </r>
  <r>
    <s v="TRX-1277"/>
    <s v="2024-06-19"/>
    <x v="1"/>
    <x v="1"/>
    <x v="0"/>
    <s v="Balance Sheet"/>
    <n v="-346.43"/>
  </r>
  <r>
    <s v="TRX-1284"/>
    <s v="2024-02-05"/>
    <x v="1"/>
    <x v="1"/>
    <x v="0"/>
    <s v="Balance Sheet"/>
    <n v="-290.8"/>
  </r>
  <r>
    <s v="TRX-1287"/>
    <s v="2024-10-15"/>
    <x v="1"/>
    <x v="1"/>
    <x v="0"/>
    <s v="Balance Sheet"/>
    <n v="-708.6"/>
  </r>
  <r>
    <s v="TRX-1288"/>
    <s v="2024-10-20"/>
    <x v="1"/>
    <x v="1"/>
    <x v="0"/>
    <s v="Balance Sheet"/>
    <n v="3837.3"/>
  </r>
  <r>
    <s v="TRX-1292"/>
    <s v="2024-07-26"/>
    <x v="1"/>
    <x v="1"/>
    <x v="0"/>
    <s v="Balance Sheet"/>
    <n v="2898.7"/>
  </r>
  <r>
    <s v="TRX-1295"/>
    <s v="2024-02-12"/>
    <x v="1"/>
    <x v="1"/>
    <x v="0"/>
    <s v="Balance Sheet"/>
    <n v="4339.3100000000004"/>
  </r>
  <r>
    <s v="TRX-1296"/>
    <s v="2024-12-21"/>
    <x v="1"/>
    <x v="1"/>
    <x v="0"/>
    <s v="Balance Sheet"/>
    <n v="-767.02"/>
  </r>
  <r>
    <s v="TRX-1298"/>
    <s v="2024-08-11"/>
    <x v="1"/>
    <x v="1"/>
    <x v="0"/>
    <s v="Balance Sheet"/>
    <n v="1557.7"/>
  </r>
  <r>
    <s v="TRX-1301"/>
    <s v="2024-05-19"/>
    <x v="1"/>
    <x v="1"/>
    <x v="0"/>
    <s v="Balance Sheet"/>
    <n v="-468.48"/>
  </r>
  <r>
    <s v="TRX-1306"/>
    <s v="2024-12-31"/>
    <x v="1"/>
    <x v="1"/>
    <x v="0"/>
    <s v="Balance Sheet"/>
    <n v="1895.03"/>
  </r>
  <r>
    <s v="TRX-1307"/>
    <s v="2024-12-05"/>
    <x v="1"/>
    <x v="1"/>
    <x v="0"/>
    <s v="Balance Sheet"/>
    <n v="-362.69"/>
  </r>
  <r>
    <s v="TRX-1311"/>
    <s v="2024-07-23"/>
    <x v="1"/>
    <x v="1"/>
    <x v="0"/>
    <s v="Balance Sheet"/>
    <n v="1367.12"/>
  </r>
  <r>
    <s v="TRX-1312"/>
    <s v="2024-04-19"/>
    <x v="1"/>
    <x v="1"/>
    <x v="0"/>
    <s v="Balance Sheet"/>
    <n v="-266.76"/>
  </r>
  <r>
    <s v="TRX-1313"/>
    <s v="2024-03-01"/>
    <x v="1"/>
    <x v="1"/>
    <x v="0"/>
    <s v="Balance Sheet"/>
    <n v="-639.79"/>
  </r>
  <r>
    <s v="TRX-1314"/>
    <s v="2024-10-12"/>
    <x v="1"/>
    <x v="1"/>
    <x v="0"/>
    <s v="Balance Sheet"/>
    <n v="-373.17"/>
  </r>
  <r>
    <s v="TRX-1318"/>
    <s v="2024-04-15"/>
    <x v="1"/>
    <x v="1"/>
    <x v="0"/>
    <s v="Balance Sheet"/>
    <n v="-217.55"/>
  </r>
  <r>
    <s v="TRX-1319"/>
    <s v="2024-07-19"/>
    <x v="1"/>
    <x v="1"/>
    <x v="0"/>
    <s v="Balance Sheet"/>
    <n v="-483.43"/>
  </r>
  <r>
    <s v="TRX-1320"/>
    <s v="2024-08-25"/>
    <x v="1"/>
    <x v="1"/>
    <x v="0"/>
    <s v="Balance Sheet"/>
    <n v="1886.39"/>
  </r>
  <r>
    <s v="TRX-1324"/>
    <s v="2024-03-20"/>
    <x v="1"/>
    <x v="1"/>
    <x v="0"/>
    <s v="Balance Sheet"/>
    <n v="3965.15"/>
  </r>
  <r>
    <s v="TRX-1325"/>
    <s v="2024-09-20"/>
    <x v="1"/>
    <x v="1"/>
    <x v="0"/>
    <s v="Balance Sheet"/>
    <n v="1896.96"/>
  </r>
  <r>
    <s v="TRX-1329"/>
    <s v="2024-11-02"/>
    <x v="1"/>
    <x v="1"/>
    <x v="0"/>
    <s v="Balance Sheet"/>
    <n v="4193.12"/>
  </r>
  <r>
    <s v="TRX-1331"/>
    <s v="2024-10-21"/>
    <x v="1"/>
    <x v="1"/>
    <x v="0"/>
    <s v="Balance Sheet"/>
    <n v="-744.71"/>
  </r>
  <r>
    <s v="TRX-1332"/>
    <s v="2024-07-14"/>
    <x v="1"/>
    <x v="1"/>
    <x v="0"/>
    <s v="Balance Sheet"/>
    <n v="1669.04"/>
  </r>
  <r>
    <s v="TRX-1336"/>
    <s v="2024-01-17"/>
    <x v="1"/>
    <x v="1"/>
    <x v="0"/>
    <s v="Balance Sheet"/>
    <n v="-497.84"/>
  </r>
  <r>
    <s v="TRX-1340"/>
    <s v="2024-06-04"/>
    <x v="1"/>
    <x v="1"/>
    <x v="0"/>
    <s v="Balance Sheet"/>
    <n v="3730.33"/>
  </r>
  <r>
    <s v="TRX-1344"/>
    <s v="2024-02-18"/>
    <x v="1"/>
    <x v="1"/>
    <x v="0"/>
    <s v="Balance Sheet"/>
    <n v="1494.36"/>
  </r>
  <r>
    <s v="TRX-1350"/>
    <s v="2024-12-06"/>
    <x v="1"/>
    <x v="1"/>
    <x v="0"/>
    <s v="Balance Sheet"/>
    <n v="-495.65"/>
  </r>
  <r>
    <s v="TRX-1351"/>
    <s v="2024-03-01"/>
    <x v="1"/>
    <x v="1"/>
    <x v="0"/>
    <s v="Balance Sheet"/>
    <n v="3740.89"/>
  </r>
  <r>
    <s v="TRX-1352"/>
    <s v="2024-03-25"/>
    <x v="1"/>
    <x v="1"/>
    <x v="0"/>
    <s v="Balance Sheet"/>
    <n v="1095.68"/>
  </r>
  <r>
    <s v="TRX-1353"/>
    <s v="2024-04-01"/>
    <x v="1"/>
    <x v="1"/>
    <x v="0"/>
    <s v="Balance Sheet"/>
    <n v="-570.53"/>
  </r>
  <r>
    <s v="TRX-1354"/>
    <s v="2024-11-17"/>
    <x v="1"/>
    <x v="1"/>
    <x v="0"/>
    <s v="Balance Sheet"/>
    <n v="4900.04"/>
  </r>
  <r>
    <s v="TRX-1356"/>
    <s v="2024-12-25"/>
    <x v="1"/>
    <x v="1"/>
    <x v="0"/>
    <s v="Balance Sheet"/>
    <n v="4726.7299999999996"/>
  </r>
  <r>
    <s v="TRX-1357"/>
    <s v="2024-04-09"/>
    <x v="1"/>
    <x v="1"/>
    <x v="0"/>
    <s v="Balance Sheet"/>
    <n v="-883.66"/>
  </r>
  <r>
    <s v="TRX-1359"/>
    <s v="2024-07-10"/>
    <x v="1"/>
    <x v="1"/>
    <x v="0"/>
    <s v="Balance Sheet"/>
    <n v="-296.37"/>
  </r>
  <r>
    <s v="TRX-1361"/>
    <s v="2024-03-10"/>
    <x v="1"/>
    <x v="1"/>
    <x v="0"/>
    <s v="Balance Sheet"/>
    <n v="4972.9399999999996"/>
  </r>
  <r>
    <s v="TRX-1362"/>
    <s v="2024-06-14"/>
    <x v="1"/>
    <x v="1"/>
    <x v="0"/>
    <s v="Balance Sheet"/>
    <n v="-675.25"/>
  </r>
  <r>
    <s v="TRX-1363"/>
    <s v="2024-06-09"/>
    <x v="1"/>
    <x v="1"/>
    <x v="0"/>
    <s v="Balance Sheet"/>
    <n v="4052.32"/>
  </r>
  <r>
    <s v="TRX-1364"/>
    <s v="2024-02-20"/>
    <x v="1"/>
    <x v="1"/>
    <x v="0"/>
    <s v="Balance Sheet"/>
    <n v="2322.3200000000002"/>
  </r>
  <r>
    <s v="TRX-1365"/>
    <s v="2024-05-30"/>
    <x v="1"/>
    <x v="1"/>
    <x v="0"/>
    <s v="Balance Sheet"/>
    <n v="2528.5"/>
  </r>
  <r>
    <s v="TRX-1367"/>
    <s v="2024-05-07"/>
    <x v="1"/>
    <x v="1"/>
    <x v="0"/>
    <s v="Balance Sheet"/>
    <n v="3517.07"/>
  </r>
  <r>
    <s v="TRX-1369"/>
    <s v="2024-04-24"/>
    <x v="1"/>
    <x v="1"/>
    <x v="0"/>
    <s v="Balance Sheet"/>
    <n v="-562.27"/>
  </r>
  <r>
    <s v="TRX-1371"/>
    <s v="2024-04-16"/>
    <x v="1"/>
    <x v="1"/>
    <x v="0"/>
    <s v="Balance Sheet"/>
    <n v="-822.98"/>
  </r>
  <r>
    <s v="TRX-1372"/>
    <s v="2024-09-15"/>
    <x v="1"/>
    <x v="1"/>
    <x v="0"/>
    <s v="Balance Sheet"/>
    <n v="-828.72"/>
  </r>
  <r>
    <s v="TRX-1374"/>
    <s v="2024-07-02"/>
    <x v="1"/>
    <x v="1"/>
    <x v="0"/>
    <s v="Balance Sheet"/>
    <n v="3230"/>
  </r>
  <r>
    <s v="TRX-1375"/>
    <s v="2024-12-04"/>
    <x v="1"/>
    <x v="1"/>
    <x v="0"/>
    <s v="Balance Sheet"/>
    <n v="1767.43"/>
  </r>
  <r>
    <s v="TRX-1388"/>
    <s v="2024-04-05"/>
    <x v="1"/>
    <x v="1"/>
    <x v="0"/>
    <s v="Balance Sheet"/>
    <n v="-215.94"/>
  </r>
  <r>
    <s v="TRX-1390"/>
    <s v="2024-03-07"/>
    <x v="1"/>
    <x v="1"/>
    <x v="0"/>
    <s v="Balance Sheet"/>
    <n v="1026.99"/>
  </r>
  <r>
    <s v="TRX-1391"/>
    <s v="2024-05-10"/>
    <x v="1"/>
    <x v="1"/>
    <x v="0"/>
    <s v="Balance Sheet"/>
    <n v="1912.51"/>
  </r>
  <r>
    <s v="TRX-1400"/>
    <s v="2024-08-17"/>
    <x v="1"/>
    <x v="1"/>
    <x v="0"/>
    <s v="Balance Sheet"/>
    <n v="-537"/>
  </r>
  <r>
    <s v="TRX-1402"/>
    <s v="2024-11-14"/>
    <x v="1"/>
    <x v="1"/>
    <x v="0"/>
    <s v="Balance Sheet"/>
    <n v="2422.71"/>
  </r>
  <r>
    <s v="TRX-1407"/>
    <s v="2024-12-18"/>
    <x v="1"/>
    <x v="1"/>
    <x v="0"/>
    <s v="Balance Sheet"/>
    <n v="3131.93"/>
  </r>
  <r>
    <s v="TRX-1410"/>
    <s v="2024-02-29"/>
    <x v="1"/>
    <x v="1"/>
    <x v="0"/>
    <s v="Balance Sheet"/>
    <n v="-525.34"/>
  </r>
  <r>
    <s v="TRX-1413"/>
    <s v="2024-03-01"/>
    <x v="1"/>
    <x v="1"/>
    <x v="0"/>
    <s v="Balance Sheet"/>
    <n v="1182.58"/>
  </r>
  <r>
    <s v="TRX-1416"/>
    <s v="2024-11-03"/>
    <x v="1"/>
    <x v="1"/>
    <x v="0"/>
    <s v="Balance Sheet"/>
    <n v="-309.70999999999998"/>
  </r>
  <r>
    <s v="TRX-1417"/>
    <s v="2024-06-17"/>
    <x v="1"/>
    <x v="1"/>
    <x v="0"/>
    <s v="Balance Sheet"/>
    <n v="2086.52"/>
  </r>
  <r>
    <s v="TRX-1418"/>
    <s v="2024-08-28"/>
    <x v="1"/>
    <x v="1"/>
    <x v="0"/>
    <s v="Balance Sheet"/>
    <n v="4325.66"/>
  </r>
  <r>
    <s v="TRX-1423"/>
    <s v="2024-12-12"/>
    <x v="1"/>
    <x v="1"/>
    <x v="0"/>
    <s v="Balance Sheet"/>
    <n v="-425.25"/>
  </r>
  <r>
    <s v="TRX-1425"/>
    <s v="2024-09-28"/>
    <x v="1"/>
    <x v="1"/>
    <x v="0"/>
    <s v="Balance Sheet"/>
    <n v="2461.96"/>
  </r>
  <r>
    <s v="TRX-1426"/>
    <s v="2024-03-25"/>
    <x v="1"/>
    <x v="1"/>
    <x v="0"/>
    <s v="Balance Sheet"/>
    <n v="-856.47"/>
  </r>
  <r>
    <s v="TRX-1428"/>
    <s v="2024-03-20"/>
    <x v="1"/>
    <x v="1"/>
    <x v="0"/>
    <s v="Balance Sheet"/>
    <n v="-496.1"/>
  </r>
  <r>
    <s v="TRX-1430"/>
    <s v="2024-01-10"/>
    <x v="1"/>
    <x v="1"/>
    <x v="0"/>
    <s v="Balance Sheet"/>
    <n v="4553.8500000000004"/>
  </r>
  <r>
    <s v="TRX-1431"/>
    <s v="2024-07-24"/>
    <x v="1"/>
    <x v="1"/>
    <x v="0"/>
    <s v="Balance Sheet"/>
    <n v="-787.28"/>
  </r>
  <r>
    <s v="TRX-1432"/>
    <s v="2024-06-05"/>
    <x v="1"/>
    <x v="1"/>
    <x v="0"/>
    <s v="Balance Sheet"/>
    <n v="-958.31"/>
  </r>
  <r>
    <s v="TRX-1433"/>
    <s v="2024-07-18"/>
    <x v="1"/>
    <x v="1"/>
    <x v="0"/>
    <s v="Balance Sheet"/>
    <n v="2145.5700000000002"/>
  </r>
  <r>
    <s v="TRX-1435"/>
    <s v="2024-09-25"/>
    <x v="1"/>
    <x v="1"/>
    <x v="0"/>
    <s v="Balance Sheet"/>
    <n v="1919.54"/>
  </r>
  <r>
    <s v="TRX-1437"/>
    <s v="2024-01-02"/>
    <x v="1"/>
    <x v="1"/>
    <x v="0"/>
    <s v="Balance Sheet"/>
    <n v="4801.09"/>
  </r>
  <r>
    <s v="TRX-1441"/>
    <s v="2024-10-10"/>
    <x v="1"/>
    <x v="1"/>
    <x v="0"/>
    <s v="Balance Sheet"/>
    <n v="-278.88"/>
  </r>
  <r>
    <s v="TRX-1444"/>
    <s v="2024-08-29"/>
    <x v="1"/>
    <x v="1"/>
    <x v="0"/>
    <s v="Balance Sheet"/>
    <n v="-961.67"/>
  </r>
  <r>
    <s v="TRX-1449"/>
    <s v="2024-02-09"/>
    <x v="1"/>
    <x v="1"/>
    <x v="0"/>
    <s v="Balance Sheet"/>
    <n v="4936.2"/>
  </r>
  <r>
    <s v="TRX-1451"/>
    <s v="2024-11-12"/>
    <x v="1"/>
    <x v="1"/>
    <x v="0"/>
    <s v="Balance Sheet"/>
    <n v="-448.52"/>
  </r>
  <r>
    <s v="TRX-1455"/>
    <s v="2024-08-08"/>
    <x v="1"/>
    <x v="1"/>
    <x v="0"/>
    <s v="Balance Sheet"/>
    <n v="-712.25"/>
  </r>
  <r>
    <s v="TRX-1458"/>
    <s v="2024-04-12"/>
    <x v="1"/>
    <x v="1"/>
    <x v="0"/>
    <s v="Balance Sheet"/>
    <n v="3040.94"/>
  </r>
  <r>
    <s v="TRX-1467"/>
    <s v="2024-11-22"/>
    <x v="1"/>
    <x v="1"/>
    <x v="0"/>
    <s v="Balance Sheet"/>
    <n v="3570.27"/>
  </r>
  <r>
    <s v="TRX-1472"/>
    <s v="2024-08-01"/>
    <x v="1"/>
    <x v="1"/>
    <x v="0"/>
    <s v="Balance Sheet"/>
    <n v="-339.57"/>
  </r>
  <r>
    <s v="TRX-1474"/>
    <s v="2024-07-22"/>
    <x v="1"/>
    <x v="1"/>
    <x v="0"/>
    <s v="Balance Sheet"/>
    <n v="-669.11"/>
  </r>
  <r>
    <s v="TRX-1475"/>
    <s v="2024-10-24"/>
    <x v="1"/>
    <x v="1"/>
    <x v="0"/>
    <s v="Balance Sheet"/>
    <n v="-996.8"/>
  </r>
  <r>
    <s v="TRX-1477"/>
    <s v="2024-08-12"/>
    <x v="1"/>
    <x v="1"/>
    <x v="0"/>
    <s v="Balance Sheet"/>
    <n v="4007.93"/>
  </r>
  <r>
    <s v="TRX-1478"/>
    <s v="2024-02-08"/>
    <x v="1"/>
    <x v="1"/>
    <x v="0"/>
    <s v="Balance Sheet"/>
    <n v="3086.36"/>
  </r>
  <r>
    <s v="TRX-1479"/>
    <s v="2024-09-01"/>
    <x v="1"/>
    <x v="1"/>
    <x v="0"/>
    <s v="Balance Sheet"/>
    <n v="-773.65"/>
  </r>
  <r>
    <s v="TRX-1480"/>
    <s v="2024-06-30"/>
    <x v="1"/>
    <x v="1"/>
    <x v="0"/>
    <s v="Balance Sheet"/>
    <n v="-371.43"/>
  </r>
  <r>
    <s v="TRX-1483"/>
    <s v="2024-05-06"/>
    <x v="1"/>
    <x v="1"/>
    <x v="0"/>
    <s v="Balance Sheet"/>
    <n v="-395.49"/>
  </r>
  <r>
    <s v="TRX-1484"/>
    <s v="2024-05-18"/>
    <x v="1"/>
    <x v="1"/>
    <x v="0"/>
    <s v="Balance Sheet"/>
    <n v="-258.75"/>
  </r>
  <r>
    <s v="TRX-1486"/>
    <s v="2024-04-29"/>
    <x v="1"/>
    <x v="1"/>
    <x v="0"/>
    <s v="Balance Sheet"/>
    <n v="2842.21"/>
  </r>
  <r>
    <s v="TRX-1489"/>
    <s v="2024-08-30"/>
    <x v="1"/>
    <x v="1"/>
    <x v="0"/>
    <s v="Balance Sheet"/>
    <n v="-387.33"/>
  </r>
  <r>
    <s v="TRX-1494"/>
    <s v="2024-09-18"/>
    <x v="1"/>
    <x v="1"/>
    <x v="0"/>
    <s v="Balance Sheet"/>
    <n v="4323.3500000000004"/>
  </r>
  <r>
    <s v="TRX-1495"/>
    <s v="2024-01-15"/>
    <x v="1"/>
    <x v="1"/>
    <x v="0"/>
    <s v="Balance Sheet"/>
    <n v="-565.54999999999995"/>
  </r>
  <r>
    <s v="TRX-1496"/>
    <s v="2024-12-11"/>
    <x v="1"/>
    <x v="1"/>
    <x v="0"/>
    <s v="Balance Sheet"/>
    <n v="3838.01"/>
  </r>
  <r>
    <s v="TRX-1000"/>
    <s v="2024-06-07"/>
    <x v="2"/>
    <x v="2"/>
    <x v="0"/>
    <s v="Balance Sheet"/>
    <n v="-1783.54"/>
  </r>
  <r>
    <s v="TRX-1006"/>
    <s v="2024-09-19"/>
    <x v="2"/>
    <x v="2"/>
    <x v="0"/>
    <s v="Balance Sheet"/>
    <n v="-720.63"/>
  </r>
  <r>
    <s v="TRX-1010"/>
    <s v="2024-12-06"/>
    <x v="2"/>
    <x v="2"/>
    <x v="0"/>
    <s v="Balance Sheet"/>
    <n v="-1485.19"/>
  </r>
  <r>
    <s v="TRX-1028"/>
    <s v="2024-12-28"/>
    <x v="2"/>
    <x v="2"/>
    <x v="0"/>
    <s v="Balance Sheet"/>
    <n v="-1556.62"/>
  </r>
  <r>
    <s v="TRX-1031"/>
    <s v="2024-09-21"/>
    <x v="2"/>
    <x v="2"/>
    <x v="0"/>
    <s v="Balance Sheet"/>
    <n v="-517.20000000000005"/>
  </r>
  <r>
    <s v="TRX-1032"/>
    <s v="2024-09-08"/>
    <x v="2"/>
    <x v="2"/>
    <x v="0"/>
    <s v="Balance Sheet"/>
    <n v="-1713.08"/>
  </r>
  <r>
    <s v="TRX-1033"/>
    <s v="2024-05-19"/>
    <x v="2"/>
    <x v="2"/>
    <x v="0"/>
    <s v="Balance Sheet"/>
    <n v="-1426.96"/>
  </r>
  <r>
    <s v="TRX-1037"/>
    <s v="2024-03-08"/>
    <x v="2"/>
    <x v="2"/>
    <x v="0"/>
    <s v="Balance Sheet"/>
    <n v="-2362.96"/>
  </r>
  <r>
    <s v="TRX-1041"/>
    <s v="2024-10-27"/>
    <x v="2"/>
    <x v="2"/>
    <x v="0"/>
    <s v="Balance Sheet"/>
    <n v="-1731.49"/>
  </r>
  <r>
    <s v="TRX-1042"/>
    <s v="2024-05-23"/>
    <x v="2"/>
    <x v="2"/>
    <x v="0"/>
    <s v="Balance Sheet"/>
    <n v="-1715.51"/>
  </r>
  <r>
    <s v="TRX-1046"/>
    <s v="2024-04-27"/>
    <x v="2"/>
    <x v="2"/>
    <x v="0"/>
    <s v="Balance Sheet"/>
    <n v="-1982.79"/>
  </r>
  <r>
    <s v="TRX-1047"/>
    <s v="2024-07-09"/>
    <x v="2"/>
    <x v="2"/>
    <x v="0"/>
    <s v="Balance Sheet"/>
    <n v="-2286.02"/>
  </r>
  <r>
    <s v="TRX-1050"/>
    <s v="2024-07-06"/>
    <x v="2"/>
    <x v="2"/>
    <x v="0"/>
    <s v="Balance Sheet"/>
    <n v="-1210.74"/>
  </r>
  <r>
    <s v="TRX-1051"/>
    <s v="2024-12-21"/>
    <x v="2"/>
    <x v="2"/>
    <x v="0"/>
    <s v="Balance Sheet"/>
    <n v="-1367.25"/>
  </r>
  <r>
    <s v="TRX-1053"/>
    <s v="2024-05-24"/>
    <x v="2"/>
    <x v="2"/>
    <x v="0"/>
    <s v="Balance Sheet"/>
    <n v="-798.18"/>
  </r>
  <r>
    <s v="TRX-1054"/>
    <s v="2024-04-21"/>
    <x v="2"/>
    <x v="2"/>
    <x v="0"/>
    <s v="Balance Sheet"/>
    <n v="-1589.17"/>
  </r>
  <r>
    <s v="TRX-1059"/>
    <s v="2024-02-03"/>
    <x v="2"/>
    <x v="2"/>
    <x v="0"/>
    <s v="Balance Sheet"/>
    <n v="-2166.31"/>
  </r>
  <r>
    <s v="TRX-1060"/>
    <s v="2024-09-25"/>
    <x v="2"/>
    <x v="2"/>
    <x v="0"/>
    <s v="Balance Sheet"/>
    <n v="-569.1"/>
  </r>
  <r>
    <s v="TRX-1062"/>
    <s v="2024-04-16"/>
    <x v="2"/>
    <x v="2"/>
    <x v="0"/>
    <s v="Balance Sheet"/>
    <n v="-2495.21"/>
  </r>
  <r>
    <s v="TRX-1064"/>
    <s v="2024-03-29"/>
    <x v="2"/>
    <x v="2"/>
    <x v="0"/>
    <s v="Balance Sheet"/>
    <n v="-835.2"/>
  </r>
  <r>
    <s v="TRX-1065"/>
    <s v="2024-10-20"/>
    <x v="2"/>
    <x v="2"/>
    <x v="0"/>
    <s v="Balance Sheet"/>
    <n v="-1348.18"/>
  </r>
  <r>
    <s v="TRX-1068"/>
    <s v="2024-01-03"/>
    <x v="2"/>
    <x v="2"/>
    <x v="0"/>
    <s v="Balance Sheet"/>
    <n v="-1443.92"/>
  </r>
  <r>
    <s v="TRX-1073"/>
    <s v="2024-07-18"/>
    <x v="2"/>
    <x v="2"/>
    <x v="0"/>
    <s v="Balance Sheet"/>
    <n v="-2359.12"/>
  </r>
  <r>
    <s v="TRX-1074"/>
    <s v="2024-11-15"/>
    <x v="2"/>
    <x v="2"/>
    <x v="0"/>
    <s v="Balance Sheet"/>
    <n v="-1529.23"/>
  </r>
  <r>
    <s v="TRX-1077"/>
    <s v="2024-09-14"/>
    <x v="2"/>
    <x v="2"/>
    <x v="0"/>
    <s v="Balance Sheet"/>
    <n v="-2306.88"/>
  </r>
  <r>
    <s v="TRX-1078"/>
    <s v="2024-04-04"/>
    <x v="2"/>
    <x v="2"/>
    <x v="0"/>
    <s v="Balance Sheet"/>
    <n v="-1427.61"/>
  </r>
  <r>
    <s v="TRX-1079"/>
    <s v="2024-04-13"/>
    <x v="2"/>
    <x v="2"/>
    <x v="0"/>
    <s v="Balance Sheet"/>
    <n v="-1597.39"/>
  </r>
  <r>
    <s v="TRX-1086"/>
    <s v="2024-05-25"/>
    <x v="2"/>
    <x v="2"/>
    <x v="0"/>
    <s v="Balance Sheet"/>
    <n v="-1444.41"/>
  </r>
  <r>
    <s v="TRX-1089"/>
    <s v="2024-08-07"/>
    <x v="2"/>
    <x v="2"/>
    <x v="0"/>
    <s v="Balance Sheet"/>
    <n v="-1445.02"/>
  </r>
  <r>
    <s v="TRX-1093"/>
    <s v="2024-09-15"/>
    <x v="2"/>
    <x v="2"/>
    <x v="0"/>
    <s v="Balance Sheet"/>
    <n v="-1854.22"/>
  </r>
  <r>
    <s v="TRX-1102"/>
    <s v="2024-08-03"/>
    <x v="2"/>
    <x v="2"/>
    <x v="0"/>
    <s v="Balance Sheet"/>
    <n v="-1239.52"/>
  </r>
  <r>
    <s v="TRX-1120"/>
    <s v="2024-06-23"/>
    <x v="2"/>
    <x v="2"/>
    <x v="0"/>
    <s v="Balance Sheet"/>
    <n v="-2019.28"/>
  </r>
  <r>
    <s v="TRX-1122"/>
    <s v="2024-11-27"/>
    <x v="2"/>
    <x v="2"/>
    <x v="0"/>
    <s v="Balance Sheet"/>
    <n v="-1549.07"/>
  </r>
  <r>
    <s v="TRX-1126"/>
    <s v="2024-08-17"/>
    <x v="2"/>
    <x v="2"/>
    <x v="0"/>
    <s v="Balance Sheet"/>
    <n v="-1026.3699999999999"/>
  </r>
  <r>
    <s v="TRX-1127"/>
    <s v="2024-08-01"/>
    <x v="2"/>
    <x v="2"/>
    <x v="0"/>
    <s v="Balance Sheet"/>
    <n v="-2047.24"/>
  </r>
  <r>
    <s v="TRX-1130"/>
    <s v="2024-04-14"/>
    <x v="2"/>
    <x v="2"/>
    <x v="0"/>
    <s v="Balance Sheet"/>
    <n v="-1270.49"/>
  </r>
  <r>
    <s v="TRX-1139"/>
    <s v="2024-04-25"/>
    <x v="2"/>
    <x v="2"/>
    <x v="0"/>
    <s v="Balance Sheet"/>
    <n v="-2178.91"/>
  </r>
  <r>
    <s v="TRX-1140"/>
    <s v="2024-05-10"/>
    <x v="2"/>
    <x v="2"/>
    <x v="0"/>
    <s v="Balance Sheet"/>
    <n v="-2118.91"/>
  </r>
  <r>
    <s v="TRX-1145"/>
    <s v="2024-10-29"/>
    <x v="2"/>
    <x v="2"/>
    <x v="0"/>
    <s v="Balance Sheet"/>
    <n v="-1305.58"/>
  </r>
  <r>
    <s v="TRX-1154"/>
    <s v="2024-12-09"/>
    <x v="2"/>
    <x v="2"/>
    <x v="0"/>
    <s v="Balance Sheet"/>
    <n v="-2085.2399999999998"/>
  </r>
  <r>
    <s v="TRX-1155"/>
    <s v="2024-03-13"/>
    <x v="2"/>
    <x v="2"/>
    <x v="0"/>
    <s v="Balance Sheet"/>
    <n v="-2056.38"/>
  </r>
  <r>
    <s v="TRX-1157"/>
    <s v="2024-01-30"/>
    <x v="2"/>
    <x v="2"/>
    <x v="0"/>
    <s v="Balance Sheet"/>
    <n v="-751.92"/>
  </r>
  <r>
    <s v="TRX-1158"/>
    <s v="2024-07-23"/>
    <x v="2"/>
    <x v="2"/>
    <x v="0"/>
    <s v="Balance Sheet"/>
    <n v="-1584.05"/>
  </r>
  <r>
    <s v="TRX-1161"/>
    <s v="2024-11-05"/>
    <x v="2"/>
    <x v="2"/>
    <x v="0"/>
    <s v="Balance Sheet"/>
    <n v="-1322.21"/>
  </r>
  <r>
    <s v="TRX-1163"/>
    <s v="2024-04-05"/>
    <x v="2"/>
    <x v="2"/>
    <x v="0"/>
    <s v="Balance Sheet"/>
    <n v="-1766.62"/>
  </r>
  <r>
    <s v="TRX-1164"/>
    <s v="2024-11-11"/>
    <x v="2"/>
    <x v="2"/>
    <x v="0"/>
    <s v="Balance Sheet"/>
    <n v="-784.53"/>
  </r>
  <r>
    <s v="TRX-1166"/>
    <s v="2024-11-06"/>
    <x v="2"/>
    <x v="2"/>
    <x v="0"/>
    <s v="Balance Sheet"/>
    <n v="-1335.72"/>
  </r>
  <r>
    <s v="TRX-1172"/>
    <s v="2024-03-27"/>
    <x v="2"/>
    <x v="2"/>
    <x v="0"/>
    <s v="Balance Sheet"/>
    <n v="-1004.45"/>
  </r>
  <r>
    <s v="TRX-1176"/>
    <s v="2024-04-10"/>
    <x v="2"/>
    <x v="2"/>
    <x v="0"/>
    <s v="Balance Sheet"/>
    <n v="-2421.91"/>
  </r>
  <r>
    <s v="TRX-1180"/>
    <s v="2024-09-03"/>
    <x v="2"/>
    <x v="2"/>
    <x v="0"/>
    <s v="Balance Sheet"/>
    <n v="-759.63"/>
  </r>
  <r>
    <s v="TRX-1185"/>
    <s v="2024-11-06"/>
    <x v="2"/>
    <x v="2"/>
    <x v="0"/>
    <s v="Balance Sheet"/>
    <n v="-2291.48"/>
  </r>
  <r>
    <s v="TRX-1187"/>
    <s v="2024-12-06"/>
    <x v="2"/>
    <x v="2"/>
    <x v="0"/>
    <s v="Balance Sheet"/>
    <n v="-947.71"/>
  </r>
  <r>
    <s v="TRX-1189"/>
    <s v="2024-10-27"/>
    <x v="2"/>
    <x v="2"/>
    <x v="0"/>
    <s v="Balance Sheet"/>
    <n v="-2382.1"/>
  </r>
  <r>
    <s v="TRX-1194"/>
    <s v="2024-10-19"/>
    <x v="2"/>
    <x v="2"/>
    <x v="0"/>
    <s v="Balance Sheet"/>
    <n v="-1972.49"/>
  </r>
  <r>
    <s v="TRX-1198"/>
    <s v="2024-06-01"/>
    <x v="2"/>
    <x v="2"/>
    <x v="0"/>
    <s v="Balance Sheet"/>
    <n v="-2383.1"/>
  </r>
  <r>
    <s v="TRX-1201"/>
    <s v="2024-04-01"/>
    <x v="2"/>
    <x v="2"/>
    <x v="0"/>
    <s v="Balance Sheet"/>
    <n v="-1127.3900000000001"/>
  </r>
  <r>
    <s v="TRX-1206"/>
    <s v="2024-10-30"/>
    <x v="2"/>
    <x v="2"/>
    <x v="0"/>
    <s v="Balance Sheet"/>
    <n v="-683.13"/>
  </r>
  <r>
    <s v="TRX-1211"/>
    <s v="2024-05-15"/>
    <x v="2"/>
    <x v="2"/>
    <x v="0"/>
    <s v="Balance Sheet"/>
    <n v="-2446.83"/>
  </r>
  <r>
    <s v="TRX-1214"/>
    <s v="2024-08-18"/>
    <x v="2"/>
    <x v="2"/>
    <x v="0"/>
    <s v="Balance Sheet"/>
    <n v="-1861.29"/>
  </r>
  <r>
    <s v="TRX-1223"/>
    <s v="2024-10-22"/>
    <x v="2"/>
    <x v="2"/>
    <x v="0"/>
    <s v="Balance Sheet"/>
    <n v="-1436.51"/>
  </r>
  <r>
    <s v="TRX-1225"/>
    <s v="2024-10-30"/>
    <x v="2"/>
    <x v="2"/>
    <x v="0"/>
    <s v="Balance Sheet"/>
    <n v="-2259.69"/>
  </r>
  <r>
    <s v="TRX-1229"/>
    <s v="2024-03-03"/>
    <x v="2"/>
    <x v="2"/>
    <x v="0"/>
    <s v="Balance Sheet"/>
    <n v="-805.05"/>
  </r>
  <r>
    <s v="TRX-1234"/>
    <s v="2024-10-15"/>
    <x v="2"/>
    <x v="2"/>
    <x v="0"/>
    <s v="Balance Sheet"/>
    <n v="-2035.47"/>
  </r>
  <r>
    <s v="TRX-1235"/>
    <s v="2024-10-26"/>
    <x v="2"/>
    <x v="2"/>
    <x v="0"/>
    <s v="Balance Sheet"/>
    <n v="-640.16"/>
  </r>
  <r>
    <s v="TRX-1237"/>
    <s v="2024-09-07"/>
    <x v="2"/>
    <x v="2"/>
    <x v="0"/>
    <s v="Balance Sheet"/>
    <n v="-1655.34"/>
  </r>
  <r>
    <s v="TRX-1238"/>
    <s v="2024-10-02"/>
    <x v="2"/>
    <x v="2"/>
    <x v="0"/>
    <s v="Balance Sheet"/>
    <n v="-1724.81"/>
  </r>
  <r>
    <s v="TRX-1247"/>
    <s v="2024-12-08"/>
    <x v="2"/>
    <x v="2"/>
    <x v="0"/>
    <s v="Balance Sheet"/>
    <n v="-2243.02"/>
  </r>
  <r>
    <s v="TRX-1252"/>
    <s v="2024-12-18"/>
    <x v="2"/>
    <x v="2"/>
    <x v="0"/>
    <s v="Balance Sheet"/>
    <n v="-667.85"/>
  </r>
  <r>
    <s v="TRX-1253"/>
    <s v="2024-01-24"/>
    <x v="2"/>
    <x v="2"/>
    <x v="0"/>
    <s v="Balance Sheet"/>
    <n v="-1357.8"/>
  </r>
  <r>
    <s v="TRX-1255"/>
    <s v="2024-04-25"/>
    <x v="2"/>
    <x v="2"/>
    <x v="0"/>
    <s v="Balance Sheet"/>
    <n v="-1782.89"/>
  </r>
  <r>
    <s v="TRX-1257"/>
    <s v="2024-10-19"/>
    <x v="2"/>
    <x v="2"/>
    <x v="0"/>
    <s v="Balance Sheet"/>
    <n v="-1534.26"/>
  </r>
  <r>
    <s v="TRX-1258"/>
    <s v="2024-04-03"/>
    <x v="2"/>
    <x v="2"/>
    <x v="0"/>
    <s v="Balance Sheet"/>
    <n v="-1936.14"/>
  </r>
  <r>
    <s v="TRX-1259"/>
    <s v="2024-08-16"/>
    <x v="2"/>
    <x v="2"/>
    <x v="0"/>
    <s v="Balance Sheet"/>
    <n v="-1734.99"/>
  </r>
  <r>
    <s v="TRX-1260"/>
    <s v="2024-10-25"/>
    <x v="2"/>
    <x v="2"/>
    <x v="0"/>
    <s v="Balance Sheet"/>
    <n v="-2130.84"/>
  </r>
  <r>
    <s v="TRX-1261"/>
    <s v="2024-12-29"/>
    <x v="2"/>
    <x v="2"/>
    <x v="0"/>
    <s v="Balance Sheet"/>
    <n v="-1125.51"/>
  </r>
  <r>
    <s v="TRX-1265"/>
    <s v="2024-10-25"/>
    <x v="2"/>
    <x v="2"/>
    <x v="0"/>
    <s v="Balance Sheet"/>
    <n v="-2333.92"/>
  </r>
  <r>
    <s v="TRX-1266"/>
    <s v="2024-01-18"/>
    <x v="2"/>
    <x v="2"/>
    <x v="0"/>
    <s v="Balance Sheet"/>
    <n v="-1160.42"/>
  </r>
  <r>
    <s v="TRX-1273"/>
    <s v="2024-03-08"/>
    <x v="2"/>
    <x v="2"/>
    <x v="0"/>
    <s v="Balance Sheet"/>
    <n v="-1752.84"/>
  </r>
  <r>
    <s v="TRX-1278"/>
    <s v="2024-09-13"/>
    <x v="2"/>
    <x v="2"/>
    <x v="0"/>
    <s v="Balance Sheet"/>
    <n v="-1368.59"/>
  </r>
  <r>
    <s v="TRX-1279"/>
    <s v="2024-04-05"/>
    <x v="2"/>
    <x v="2"/>
    <x v="0"/>
    <s v="Balance Sheet"/>
    <n v="-1976.9"/>
  </r>
  <r>
    <s v="TRX-1280"/>
    <s v="2024-07-30"/>
    <x v="2"/>
    <x v="2"/>
    <x v="0"/>
    <s v="Balance Sheet"/>
    <n v="-1434.1"/>
  </r>
  <r>
    <s v="TRX-1281"/>
    <s v="2024-02-03"/>
    <x v="2"/>
    <x v="2"/>
    <x v="0"/>
    <s v="Balance Sheet"/>
    <n v="-2191.69"/>
  </r>
  <r>
    <s v="TRX-1283"/>
    <s v="2024-10-14"/>
    <x v="2"/>
    <x v="2"/>
    <x v="0"/>
    <s v="Balance Sheet"/>
    <n v="-676.44"/>
  </r>
  <r>
    <s v="TRX-1286"/>
    <s v="2024-03-05"/>
    <x v="2"/>
    <x v="2"/>
    <x v="0"/>
    <s v="Balance Sheet"/>
    <n v="-760.65"/>
  </r>
  <r>
    <s v="TRX-1289"/>
    <s v="2024-06-11"/>
    <x v="2"/>
    <x v="2"/>
    <x v="0"/>
    <s v="Balance Sheet"/>
    <n v="-1069.5899999999999"/>
  </r>
  <r>
    <s v="TRX-1302"/>
    <s v="2024-02-25"/>
    <x v="2"/>
    <x v="2"/>
    <x v="0"/>
    <s v="Balance Sheet"/>
    <n v="-1029.04"/>
  </r>
  <r>
    <s v="TRX-1303"/>
    <s v="2024-12-29"/>
    <x v="2"/>
    <x v="2"/>
    <x v="0"/>
    <s v="Balance Sheet"/>
    <n v="-1592.7"/>
  </r>
  <r>
    <s v="TRX-1304"/>
    <s v="2024-10-23"/>
    <x v="2"/>
    <x v="2"/>
    <x v="0"/>
    <s v="Balance Sheet"/>
    <n v="-1463.63"/>
  </r>
  <r>
    <s v="TRX-1322"/>
    <s v="2024-10-17"/>
    <x v="2"/>
    <x v="2"/>
    <x v="0"/>
    <s v="Balance Sheet"/>
    <n v="-1581.87"/>
  </r>
  <r>
    <s v="TRX-1326"/>
    <s v="2024-12-26"/>
    <x v="2"/>
    <x v="2"/>
    <x v="0"/>
    <s v="Balance Sheet"/>
    <n v="-1573.13"/>
  </r>
  <r>
    <s v="TRX-1333"/>
    <s v="2024-10-08"/>
    <x v="2"/>
    <x v="2"/>
    <x v="0"/>
    <s v="Balance Sheet"/>
    <n v="-1300.93"/>
  </r>
  <r>
    <s v="TRX-1334"/>
    <s v="2024-10-17"/>
    <x v="2"/>
    <x v="2"/>
    <x v="0"/>
    <s v="Balance Sheet"/>
    <n v="-2198.09"/>
  </r>
  <r>
    <s v="TRX-1335"/>
    <s v="2024-08-14"/>
    <x v="2"/>
    <x v="2"/>
    <x v="0"/>
    <s v="Balance Sheet"/>
    <n v="-1721.65"/>
  </r>
  <r>
    <s v="TRX-1337"/>
    <s v="2024-04-27"/>
    <x v="2"/>
    <x v="2"/>
    <x v="0"/>
    <s v="Balance Sheet"/>
    <n v="-676.96"/>
  </r>
  <r>
    <s v="TRX-1342"/>
    <s v="2024-11-01"/>
    <x v="2"/>
    <x v="2"/>
    <x v="0"/>
    <s v="Balance Sheet"/>
    <n v="-1884.3"/>
  </r>
  <r>
    <s v="TRX-1348"/>
    <s v="2024-07-31"/>
    <x v="2"/>
    <x v="2"/>
    <x v="0"/>
    <s v="Balance Sheet"/>
    <n v="-886"/>
  </r>
  <r>
    <s v="TRX-1366"/>
    <s v="2024-12-03"/>
    <x v="2"/>
    <x v="2"/>
    <x v="0"/>
    <s v="Balance Sheet"/>
    <n v="-1695.42"/>
  </r>
  <r>
    <s v="TRX-1373"/>
    <s v="2024-01-08"/>
    <x v="2"/>
    <x v="2"/>
    <x v="0"/>
    <s v="Balance Sheet"/>
    <n v="-1547.32"/>
  </r>
  <r>
    <s v="TRX-1376"/>
    <s v="2024-03-21"/>
    <x v="2"/>
    <x v="2"/>
    <x v="0"/>
    <s v="Balance Sheet"/>
    <n v="-1773.15"/>
  </r>
  <r>
    <s v="TRX-1378"/>
    <s v="2024-01-21"/>
    <x v="2"/>
    <x v="2"/>
    <x v="0"/>
    <s v="Balance Sheet"/>
    <n v="-2225.71"/>
  </r>
  <r>
    <s v="TRX-1382"/>
    <s v="2024-04-30"/>
    <x v="2"/>
    <x v="2"/>
    <x v="0"/>
    <s v="Balance Sheet"/>
    <n v="-2215.86"/>
  </r>
  <r>
    <s v="TRX-1389"/>
    <s v="2024-07-03"/>
    <x v="2"/>
    <x v="2"/>
    <x v="0"/>
    <s v="Balance Sheet"/>
    <n v="-935.38"/>
  </r>
  <r>
    <s v="TRX-1392"/>
    <s v="2024-10-12"/>
    <x v="2"/>
    <x v="2"/>
    <x v="0"/>
    <s v="Balance Sheet"/>
    <n v="-1183.1400000000001"/>
  </r>
  <r>
    <s v="TRX-1399"/>
    <s v="2024-06-16"/>
    <x v="2"/>
    <x v="2"/>
    <x v="0"/>
    <s v="Balance Sheet"/>
    <n v="-1625.27"/>
  </r>
  <r>
    <s v="TRX-1401"/>
    <s v="2024-01-06"/>
    <x v="2"/>
    <x v="2"/>
    <x v="0"/>
    <s v="Balance Sheet"/>
    <n v="-2498.5700000000002"/>
  </r>
  <r>
    <s v="TRX-1403"/>
    <s v="2024-11-06"/>
    <x v="2"/>
    <x v="2"/>
    <x v="0"/>
    <s v="Balance Sheet"/>
    <n v="-1318.33"/>
  </r>
  <r>
    <s v="TRX-1409"/>
    <s v="2024-04-16"/>
    <x v="2"/>
    <x v="2"/>
    <x v="0"/>
    <s v="Balance Sheet"/>
    <n v="-1671.01"/>
  </r>
  <r>
    <s v="TRX-1421"/>
    <s v="2024-12-08"/>
    <x v="2"/>
    <x v="2"/>
    <x v="0"/>
    <s v="Balance Sheet"/>
    <n v="-1931.59"/>
  </r>
  <r>
    <s v="TRX-1422"/>
    <s v="2024-10-18"/>
    <x v="2"/>
    <x v="2"/>
    <x v="0"/>
    <s v="Balance Sheet"/>
    <n v="-1126.56"/>
  </r>
  <r>
    <s v="TRX-1427"/>
    <s v="2024-07-30"/>
    <x v="2"/>
    <x v="2"/>
    <x v="0"/>
    <s v="Balance Sheet"/>
    <n v="-828.08"/>
  </r>
  <r>
    <s v="TRX-1429"/>
    <s v="2024-07-04"/>
    <x v="2"/>
    <x v="2"/>
    <x v="0"/>
    <s v="Balance Sheet"/>
    <n v="-2031.58"/>
  </r>
  <r>
    <s v="TRX-1434"/>
    <s v="2024-02-05"/>
    <x v="2"/>
    <x v="2"/>
    <x v="0"/>
    <s v="Balance Sheet"/>
    <n v="-1723.17"/>
  </r>
  <r>
    <s v="TRX-1440"/>
    <s v="2024-05-18"/>
    <x v="2"/>
    <x v="2"/>
    <x v="0"/>
    <s v="Balance Sheet"/>
    <n v="-1203.07"/>
  </r>
  <r>
    <s v="TRX-1442"/>
    <s v="2024-08-30"/>
    <x v="2"/>
    <x v="2"/>
    <x v="0"/>
    <s v="Balance Sheet"/>
    <n v="-1704.65"/>
  </r>
  <r>
    <s v="TRX-1459"/>
    <s v="2024-11-12"/>
    <x v="2"/>
    <x v="2"/>
    <x v="0"/>
    <s v="Balance Sheet"/>
    <n v="-2067.27"/>
  </r>
  <r>
    <s v="TRX-1460"/>
    <s v="2024-02-20"/>
    <x v="2"/>
    <x v="2"/>
    <x v="0"/>
    <s v="Balance Sheet"/>
    <n v="-1138.8800000000001"/>
  </r>
  <r>
    <s v="TRX-1462"/>
    <s v="2024-05-10"/>
    <x v="2"/>
    <x v="2"/>
    <x v="0"/>
    <s v="Balance Sheet"/>
    <n v="-2451.15"/>
  </r>
  <r>
    <s v="TRX-1464"/>
    <s v="2024-12-03"/>
    <x v="2"/>
    <x v="2"/>
    <x v="0"/>
    <s v="Balance Sheet"/>
    <n v="-631.30999999999995"/>
  </r>
  <r>
    <s v="TRX-1468"/>
    <s v="2024-04-22"/>
    <x v="2"/>
    <x v="2"/>
    <x v="0"/>
    <s v="Balance Sheet"/>
    <n v="-1792.13"/>
  </r>
  <r>
    <s v="TRX-1482"/>
    <s v="2024-05-04"/>
    <x v="2"/>
    <x v="2"/>
    <x v="0"/>
    <s v="Balance Sheet"/>
    <n v="-1824.02"/>
  </r>
  <r>
    <s v="TRX-1485"/>
    <s v="2024-08-10"/>
    <x v="2"/>
    <x v="2"/>
    <x v="0"/>
    <s v="Balance Sheet"/>
    <n v="-1408.98"/>
  </r>
  <r>
    <s v="TRX-1492"/>
    <s v="2024-10-17"/>
    <x v="2"/>
    <x v="2"/>
    <x v="0"/>
    <s v="Balance Sheet"/>
    <n v="-1002.1"/>
  </r>
  <r>
    <s v="TRX-1008"/>
    <s v="2024-10-14"/>
    <x v="3"/>
    <x v="3"/>
    <x v="1"/>
    <s v="Income Statement"/>
    <n v="241.88"/>
  </r>
  <r>
    <s v="TRX-1009"/>
    <s v="2024-02-01"/>
    <x v="3"/>
    <x v="3"/>
    <x v="1"/>
    <s v="Income Statement"/>
    <n v="946.96"/>
  </r>
  <r>
    <s v="TRX-1011"/>
    <s v="2024-06-01"/>
    <x v="3"/>
    <x v="3"/>
    <x v="1"/>
    <s v="Income Statement"/>
    <n v="799.86"/>
  </r>
  <r>
    <s v="TRX-1013"/>
    <s v="2024-01-14"/>
    <x v="3"/>
    <x v="3"/>
    <x v="1"/>
    <s v="Income Statement"/>
    <n v="587.34"/>
  </r>
  <r>
    <s v="TRX-1014"/>
    <s v="2024-12-17"/>
    <x v="3"/>
    <x v="3"/>
    <x v="1"/>
    <s v="Income Statement"/>
    <n v="857.67"/>
  </r>
  <r>
    <s v="TRX-1020"/>
    <s v="2024-09-18"/>
    <x v="3"/>
    <x v="3"/>
    <x v="1"/>
    <s v="Income Statement"/>
    <n v="325.8"/>
  </r>
  <r>
    <s v="TRX-1030"/>
    <s v="2024-08-07"/>
    <x v="3"/>
    <x v="3"/>
    <x v="1"/>
    <s v="Income Statement"/>
    <n v="662.24"/>
  </r>
  <r>
    <s v="TRX-1034"/>
    <s v="2024-07-22"/>
    <x v="3"/>
    <x v="3"/>
    <x v="1"/>
    <s v="Income Statement"/>
    <n v="157.06"/>
  </r>
  <r>
    <s v="TRX-1039"/>
    <s v="2024-09-18"/>
    <x v="3"/>
    <x v="3"/>
    <x v="1"/>
    <s v="Income Statement"/>
    <n v="838.77"/>
  </r>
  <r>
    <s v="TRX-1045"/>
    <s v="2024-12-03"/>
    <x v="3"/>
    <x v="3"/>
    <x v="1"/>
    <s v="Income Statement"/>
    <n v="114.89"/>
  </r>
  <r>
    <s v="TRX-1055"/>
    <s v="2024-04-22"/>
    <x v="3"/>
    <x v="3"/>
    <x v="1"/>
    <s v="Income Statement"/>
    <n v="752.05"/>
  </r>
  <r>
    <s v="TRX-1056"/>
    <s v="2024-10-22"/>
    <x v="3"/>
    <x v="3"/>
    <x v="1"/>
    <s v="Income Statement"/>
    <n v="976.4"/>
  </r>
  <r>
    <s v="TRX-1071"/>
    <s v="2024-09-20"/>
    <x v="3"/>
    <x v="3"/>
    <x v="1"/>
    <s v="Income Statement"/>
    <n v="232.89"/>
  </r>
  <r>
    <s v="TRX-1080"/>
    <s v="2024-08-01"/>
    <x v="3"/>
    <x v="3"/>
    <x v="1"/>
    <s v="Income Statement"/>
    <n v="524.5"/>
  </r>
  <r>
    <s v="TRX-1085"/>
    <s v="2024-11-16"/>
    <x v="3"/>
    <x v="3"/>
    <x v="1"/>
    <s v="Income Statement"/>
    <n v="393.72"/>
  </r>
  <r>
    <s v="TRX-1088"/>
    <s v="2024-12-09"/>
    <x v="3"/>
    <x v="3"/>
    <x v="1"/>
    <s v="Income Statement"/>
    <n v="752.95"/>
  </r>
  <r>
    <s v="TRX-1091"/>
    <s v="2024-09-30"/>
    <x v="3"/>
    <x v="3"/>
    <x v="1"/>
    <s v="Income Statement"/>
    <n v="546.30999999999995"/>
  </r>
  <r>
    <s v="TRX-1103"/>
    <s v="2024-11-18"/>
    <x v="3"/>
    <x v="3"/>
    <x v="1"/>
    <s v="Income Statement"/>
    <n v="498.69"/>
  </r>
  <r>
    <s v="TRX-1106"/>
    <s v="2024-12-05"/>
    <x v="3"/>
    <x v="3"/>
    <x v="1"/>
    <s v="Income Statement"/>
    <n v="233.11"/>
  </r>
  <r>
    <s v="TRX-1112"/>
    <s v="2024-06-16"/>
    <x v="3"/>
    <x v="3"/>
    <x v="1"/>
    <s v="Income Statement"/>
    <n v="755.69"/>
  </r>
  <r>
    <s v="TRX-1118"/>
    <s v="2024-11-04"/>
    <x v="3"/>
    <x v="3"/>
    <x v="1"/>
    <s v="Income Statement"/>
    <n v="355.5"/>
  </r>
  <r>
    <s v="TRX-1121"/>
    <s v="2024-09-20"/>
    <x v="3"/>
    <x v="3"/>
    <x v="1"/>
    <s v="Income Statement"/>
    <n v="599.82000000000005"/>
  </r>
  <r>
    <s v="TRX-1123"/>
    <s v="2024-07-12"/>
    <x v="3"/>
    <x v="3"/>
    <x v="1"/>
    <s v="Income Statement"/>
    <n v="999.33"/>
  </r>
  <r>
    <s v="TRX-1124"/>
    <s v="2024-10-06"/>
    <x v="3"/>
    <x v="3"/>
    <x v="1"/>
    <s v="Income Statement"/>
    <n v="153.32"/>
  </r>
  <r>
    <s v="TRX-1131"/>
    <s v="2024-08-13"/>
    <x v="3"/>
    <x v="3"/>
    <x v="1"/>
    <s v="Income Statement"/>
    <n v="437.59"/>
  </r>
  <r>
    <s v="TRX-1133"/>
    <s v="2024-06-09"/>
    <x v="3"/>
    <x v="3"/>
    <x v="1"/>
    <s v="Income Statement"/>
    <n v="494.95"/>
  </r>
  <r>
    <s v="TRX-1136"/>
    <s v="2024-05-02"/>
    <x v="3"/>
    <x v="3"/>
    <x v="1"/>
    <s v="Income Statement"/>
    <n v="215.37"/>
  </r>
  <r>
    <s v="TRX-1141"/>
    <s v="2024-07-15"/>
    <x v="3"/>
    <x v="3"/>
    <x v="1"/>
    <s v="Income Statement"/>
    <n v="958.57"/>
  </r>
  <r>
    <s v="TRX-1148"/>
    <s v="2024-02-12"/>
    <x v="3"/>
    <x v="3"/>
    <x v="1"/>
    <s v="Income Statement"/>
    <n v="473.69"/>
  </r>
  <r>
    <s v="TRX-1152"/>
    <s v="2024-12-31"/>
    <x v="3"/>
    <x v="3"/>
    <x v="1"/>
    <s v="Income Statement"/>
    <n v="560.44000000000005"/>
  </r>
  <r>
    <s v="TRX-1153"/>
    <s v="2024-01-24"/>
    <x v="3"/>
    <x v="3"/>
    <x v="1"/>
    <s v="Income Statement"/>
    <n v="725.34"/>
  </r>
  <r>
    <s v="TRX-1156"/>
    <s v="2024-05-11"/>
    <x v="3"/>
    <x v="3"/>
    <x v="1"/>
    <s v="Income Statement"/>
    <n v="439.98"/>
  </r>
  <r>
    <s v="TRX-1162"/>
    <s v="2024-02-22"/>
    <x v="3"/>
    <x v="3"/>
    <x v="1"/>
    <s v="Income Statement"/>
    <n v="315.81"/>
  </r>
  <r>
    <s v="TRX-1165"/>
    <s v="2024-03-28"/>
    <x v="3"/>
    <x v="3"/>
    <x v="1"/>
    <s v="Income Statement"/>
    <n v="125.63"/>
  </r>
  <r>
    <s v="TRX-1167"/>
    <s v="2024-11-05"/>
    <x v="3"/>
    <x v="3"/>
    <x v="1"/>
    <s v="Income Statement"/>
    <n v="591.89"/>
  </r>
  <r>
    <s v="TRX-1170"/>
    <s v="2024-01-09"/>
    <x v="3"/>
    <x v="3"/>
    <x v="1"/>
    <s v="Income Statement"/>
    <n v="385.71"/>
  </r>
  <r>
    <s v="TRX-1171"/>
    <s v="2024-02-13"/>
    <x v="3"/>
    <x v="3"/>
    <x v="1"/>
    <s v="Income Statement"/>
    <n v="142.38"/>
  </r>
  <r>
    <s v="TRX-1177"/>
    <s v="2024-01-25"/>
    <x v="3"/>
    <x v="3"/>
    <x v="1"/>
    <s v="Income Statement"/>
    <n v="901.62"/>
  </r>
  <r>
    <s v="TRX-1178"/>
    <s v="2024-12-23"/>
    <x v="3"/>
    <x v="3"/>
    <x v="1"/>
    <s v="Income Statement"/>
    <n v="798.21"/>
  </r>
  <r>
    <s v="TRX-1179"/>
    <s v="2024-08-24"/>
    <x v="3"/>
    <x v="3"/>
    <x v="1"/>
    <s v="Income Statement"/>
    <n v="534.30999999999995"/>
  </r>
  <r>
    <s v="TRX-1184"/>
    <s v="2024-05-30"/>
    <x v="3"/>
    <x v="3"/>
    <x v="1"/>
    <s v="Income Statement"/>
    <n v="286.58999999999997"/>
  </r>
  <r>
    <s v="TRX-1190"/>
    <s v="2024-06-21"/>
    <x v="3"/>
    <x v="3"/>
    <x v="1"/>
    <s v="Income Statement"/>
    <n v="785.96"/>
  </r>
  <r>
    <s v="TRX-1192"/>
    <s v="2024-11-07"/>
    <x v="3"/>
    <x v="3"/>
    <x v="1"/>
    <s v="Income Statement"/>
    <n v="720.9"/>
  </r>
  <r>
    <s v="TRX-1197"/>
    <s v="2024-03-26"/>
    <x v="3"/>
    <x v="3"/>
    <x v="1"/>
    <s v="Income Statement"/>
    <n v="265.64999999999998"/>
  </r>
  <r>
    <s v="TRX-1199"/>
    <s v="2024-08-14"/>
    <x v="3"/>
    <x v="3"/>
    <x v="1"/>
    <s v="Income Statement"/>
    <n v="920.5"/>
  </r>
  <r>
    <s v="TRX-1200"/>
    <s v="2024-03-10"/>
    <x v="3"/>
    <x v="3"/>
    <x v="1"/>
    <s v="Income Statement"/>
    <n v="338.48"/>
  </r>
  <r>
    <s v="TRX-1202"/>
    <s v="2024-06-23"/>
    <x v="3"/>
    <x v="3"/>
    <x v="1"/>
    <s v="Income Statement"/>
    <n v="669.33"/>
  </r>
  <r>
    <s v="TRX-1204"/>
    <s v="2024-04-07"/>
    <x v="3"/>
    <x v="3"/>
    <x v="1"/>
    <s v="Income Statement"/>
    <n v="823.98"/>
  </r>
  <r>
    <s v="TRX-1208"/>
    <s v="2024-09-21"/>
    <x v="3"/>
    <x v="3"/>
    <x v="1"/>
    <s v="Income Statement"/>
    <n v="734.82"/>
  </r>
  <r>
    <s v="TRX-1213"/>
    <s v="2024-01-17"/>
    <x v="3"/>
    <x v="3"/>
    <x v="1"/>
    <s v="Income Statement"/>
    <n v="936.97"/>
  </r>
  <r>
    <s v="TRX-1217"/>
    <s v="2024-07-31"/>
    <x v="3"/>
    <x v="3"/>
    <x v="1"/>
    <s v="Income Statement"/>
    <n v="718.41"/>
  </r>
  <r>
    <s v="TRX-1224"/>
    <s v="2024-04-28"/>
    <x v="3"/>
    <x v="3"/>
    <x v="1"/>
    <s v="Income Statement"/>
    <n v="833.47"/>
  </r>
  <r>
    <s v="TRX-1228"/>
    <s v="2024-03-03"/>
    <x v="3"/>
    <x v="3"/>
    <x v="1"/>
    <s v="Income Statement"/>
    <n v="390.71"/>
  </r>
  <r>
    <s v="TRX-1230"/>
    <s v="2024-02-04"/>
    <x v="3"/>
    <x v="3"/>
    <x v="1"/>
    <s v="Income Statement"/>
    <n v="433.65"/>
  </r>
  <r>
    <s v="TRX-1231"/>
    <s v="2024-10-04"/>
    <x v="3"/>
    <x v="3"/>
    <x v="1"/>
    <s v="Income Statement"/>
    <n v="126.51"/>
  </r>
  <r>
    <s v="TRX-1233"/>
    <s v="2024-02-05"/>
    <x v="3"/>
    <x v="3"/>
    <x v="1"/>
    <s v="Income Statement"/>
    <n v="844.44"/>
  </r>
  <r>
    <s v="TRX-1242"/>
    <s v="2024-10-25"/>
    <x v="3"/>
    <x v="3"/>
    <x v="1"/>
    <s v="Income Statement"/>
    <n v="924.94"/>
  </r>
  <r>
    <s v="TRX-1248"/>
    <s v="2024-12-10"/>
    <x v="3"/>
    <x v="3"/>
    <x v="1"/>
    <s v="Income Statement"/>
    <n v="340.69"/>
  </r>
  <r>
    <s v="TRX-1249"/>
    <s v="2024-07-25"/>
    <x v="3"/>
    <x v="3"/>
    <x v="1"/>
    <s v="Income Statement"/>
    <n v="179.16"/>
  </r>
  <r>
    <s v="TRX-1251"/>
    <s v="2024-08-01"/>
    <x v="3"/>
    <x v="3"/>
    <x v="1"/>
    <s v="Income Statement"/>
    <n v="136.91999999999999"/>
  </r>
  <r>
    <s v="TRX-1254"/>
    <s v="2024-08-29"/>
    <x v="3"/>
    <x v="3"/>
    <x v="1"/>
    <s v="Income Statement"/>
    <n v="728.91"/>
  </r>
  <r>
    <s v="TRX-1256"/>
    <s v="2024-10-13"/>
    <x v="3"/>
    <x v="3"/>
    <x v="1"/>
    <s v="Income Statement"/>
    <n v="413.24"/>
  </r>
  <r>
    <s v="TRX-1263"/>
    <s v="2024-10-09"/>
    <x v="3"/>
    <x v="3"/>
    <x v="1"/>
    <s v="Income Statement"/>
    <n v="307.74"/>
  </r>
  <r>
    <s v="TRX-1264"/>
    <s v="2024-11-11"/>
    <x v="3"/>
    <x v="3"/>
    <x v="1"/>
    <s v="Income Statement"/>
    <n v="719.7"/>
  </r>
  <r>
    <s v="TRX-1267"/>
    <s v="2024-02-18"/>
    <x v="3"/>
    <x v="3"/>
    <x v="1"/>
    <s v="Income Statement"/>
    <n v="277.57"/>
  </r>
  <r>
    <s v="TRX-1269"/>
    <s v="2024-05-31"/>
    <x v="3"/>
    <x v="3"/>
    <x v="1"/>
    <s v="Income Statement"/>
    <n v="815.06"/>
  </r>
  <r>
    <s v="TRX-1275"/>
    <s v="2024-03-13"/>
    <x v="3"/>
    <x v="3"/>
    <x v="1"/>
    <s v="Income Statement"/>
    <n v="844.51"/>
  </r>
  <r>
    <s v="TRX-1276"/>
    <s v="2024-07-11"/>
    <x v="3"/>
    <x v="3"/>
    <x v="1"/>
    <s v="Income Statement"/>
    <n v="451.28"/>
  </r>
  <r>
    <s v="TRX-1285"/>
    <s v="2024-09-30"/>
    <x v="3"/>
    <x v="3"/>
    <x v="1"/>
    <s v="Income Statement"/>
    <n v="654.51"/>
  </r>
  <r>
    <s v="TRX-1293"/>
    <s v="2024-04-26"/>
    <x v="3"/>
    <x v="3"/>
    <x v="1"/>
    <s v="Income Statement"/>
    <n v="648.14"/>
  </r>
  <r>
    <s v="TRX-1294"/>
    <s v="2024-05-22"/>
    <x v="3"/>
    <x v="3"/>
    <x v="1"/>
    <s v="Income Statement"/>
    <n v="298.94"/>
  </r>
  <r>
    <s v="TRX-1300"/>
    <s v="2024-03-01"/>
    <x v="3"/>
    <x v="3"/>
    <x v="1"/>
    <s v="Income Statement"/>
    <n v="890.37"/>
  </r>
  <r>
    <s v="TRX-1315"/>
    <s v="2024-10-20"/>
    <x v="3"/>
    <x v="3"/>
    <x v="1"/>
    <s v="Income Statement"/>
    <n v="239.05"/>
  </r>
  <r>
    <s v="TRX-1321"/>
    <s v="2024-11-05"/>
    <x v="3"/>
    <x v="3"/>
    <x v="1"/>
    <s v="Income Statement"/>
    <n v="686.13"/>
  </r>
  <r>
    <s v="TRX-1323"/>
    <s v="2024-12-14"/>
    <x v="3"/>
    <x v="3"/>
    <x v="1"/>
    <s v="Income Statement"/>
    <n v="952.91"/>
  </r>
  <r>
    <s v="TRX-1328"/>
    <s v="2024-04-10"/>
    <x v="3"/>
    <x v="3"/>
    <x v="1"/>
    <s v="Income Statement"/>
    <n v="955.99"/>
  </r>
  <r>
    <s v="TRX-1341"/>
    <s v="2024-05-02"/>
    <x v="3"/>
    <x v="3"/>
    <x v="1"/>
    <s v="Income Statement"/>
    <n v="970.94"/>
  </r>
  <r>
    <s v="TRX-1343"/>
    <s v="2024-03-23"/>
    <x v="3"/>
    <x v="3"/>
    <x v="1"/>
    <s v="Income Statement"/>
    <n v="705.87"/>
  </r>
  <r>
    <s v="TRX-1346"/>
    <s v="2024-09-21"/>
    <x v="3"/>
    <x v="3"/>
    <x v="1"/>
    <s v="Income Statement"/>
    <n v="135.47999999999999"/>
  </r>
  <r>
    <s v="TRX-1368"/>
    <s v="2024-05-17"/>
    <x v="3"/>
    <x v="3"/>
    <x v="1"/>
    <s v="Income Statement"/>
    <n v="263.58"/>
  </r>
  <r>
    <s v="TRX-1370"/>
    <s v="2024-05-24"/>
    <x v="3"/>
    <x v="3"/>
    <x v="1"/>
    <s v="Income Statement"/>
    <n v="882.12"/>
  </r>
  <r>
    <s v="TRX-1380"/>
    <s v="2024-02-08"/>
    <x v="3"/>
    <x v="3"/>
    <x v="1"/>
    <s v="Income Statement"/>
    <n v="441.66"/>
  </r>
  <r>
    <s v="TRX-1386"/>
    <s v="2024-06-07"/>
    <x v="3"/>
    <x v="3"/>
    <x v="1"/>
    <s v="Income Statement"/>
    <n v="706.56"/>
  </r>
  <r>
    <s v="TRX-1394"/>
    <s v="2024-06-02"/>
    <x v="3"/>
    <x v="3"/>
    <x v="1"/>
    <s v="Income Statement"/>
    <n v="879.67"/>
  </r>
  <r>
    <s v="TRX-1397"/>
    <s v="2024-06-08"/>
    <x v="3"/>
    <x v="3"/>
    <x v="1"/>
    <s v="Income Statement"/>
    <n v="124.85"/>
  </r>
  <r>
    <s v="TRX-1405"/>
    <s v="2024-01-08"/>
    <x v="3"/>
    <x v="3"/>
    <x v="1"/>
    <s v="Income Statement"/>
    <n v="897.21"/>
  </r>
  <r>
    <s v="TRX-1406"/>
    <s v="2024-03-17"/>
    <x v="3"/>
    <x v="3"/>
    <x v="1"/>
    <s v="Income Statement"/>
    <n v="249.52"/>
  </r>
  <r>
    <s v="TRX-1412"/>
    <s v="2024-05-12"/>
    <x v="3"/>
    <x v="3"/>
    <x v="1"/>
    <s v="Income Statement"/>
    <n v="345.23"/>
  </r>
  <r>
    <s v="TRX-1414"/>
    <s v="2024-04-27"/>
    <x v="3"/>
    <x v="3"/>
    <x v="1"/>
    <s v="Income Statement"/>
    <n v="500.51"/>
  </r>
  <r>
    <s v="TRX-1415"/>
    <s v="2024-01-30"/>
    <x v="3"/>
    <x v="3"/>
    <x v="1"/>
    <s v="Income Statement"/>
    <n v="446.45"/>
  </r>
  <r>
    <s v="TRX-1419"/>
    <s v="2024-06-27"/>
    <x v="3"/>
    <x v="3"/>
    <x v="1"/>
    <s v="Income Statement"/>
    <n v="793.95"/>
  </r>
  <r>
    <s v="TRX-1420"/>
    <s v="2024-04-13"/>
    <x v="3"/>
    <x v="3"/>
    <x v="1"/>
    <s v="Income Statement"/>
    <n v="527.79"/>
  </r>
  <r>
    <s v="TRX-1424"/>
    <s v="2024-10-30"/>
    <x v="3"/>
    <x v="3"/>
    <x v="1"/>
    <s v="Income Statement"/>
    <n v="614.89"/>
  </r>
  <r>
    <s v="TRX-1436"/>
    <s v="2024-08-05"/>
    <x v="3"/>
    <x v="3"/>
    <x v="1"/>
    <s v="Income Statement"/>
    <n v="252.83"/>
  </r>
  <r>
    <s v="TRX-1438"/>
    <s v="2024-03-21"/>
    <x v="3"/>
    <x v="3"/>
    <x v="1"/>
    <s v="Income Statement"/>
    <n v="288.57"/>
  </r>
  <r>
    <s v="TRX-1439"/>
    <s v="2024-05-26"/>
    <x v="3"/>
    <x v="3"/>
    <x v="1"/>
    <s v="Income Statement"/>
    <n v="955.59"/>
  </r>
  <r>
    <s v="TRX-1448"/>
    <s v="2024-09-06"/>
    <x v="3"/>
    <x v="3"/>
    <x v="1"/>
    <s v="Income Statement"/>
    <n v="349.04"/>
  </r>
  <r>
    <s v="TRX-1452"/>
    <s v="2024-05-19"/>
    <x v="3"/>
    <x v="3"/>
    <x v="1"/>
    <s v="Income Statement"/>
    <n v="176.35"/>
  </r>
  <r>
    <s v="TRX-1454"/>
    <s v="2024-01-17"/>
    <x v="3"/>
    <x v="3"/>
    <x v="1"/>
    <s v="Income Statement"/>
    <n v="445.7"/>
  </r>
  <r>
    <s v="TRX-1461"/>
    <s v="2024-06-22"/>
    <x v="3"/>
    <x v="3"/>
    <x v="1"/>
    <s v="Income Statement"/>
    <n v="771.66"/>
  </r>
  <r>
    <s v="TRX-1466"/>
    <s v="2024-12-23"/>
    <x v="3"/>
    <x v="3"/>
    <x v="1"/>
    <s v="Income Statement"/>
    <n v="141.11000000000001"/>
  </r>
  <r>
    <s v="TRX-1471"/>
    <s v="2024-08-20"/>
    <x v="3"/>
    <x v="3"/>
    <x v="1"/>
    <s v="Income Statement"/>
    <n v="779.11"/>
  </r>
  <r>
    <s v="TRX-1473"/>
    <s v="2024-08-08"/>
    <x v="3"/>
    <x v="3"/>
    <x v="1"/>
    <s v="Income Statement"/>
    <n v="784.15"/>
  </r>
  <r>
    <s v="TRX-1481"/>
    <s v="2024-10-26"/>
    <x v="3"/>
    <x v="3"/>
    <x v="1"/>
    <s v="Income Statement"/>
    <n v="490.01"/>
  </r>
  <r>
    <s v="TRX-1487"/>
    <s v="2024-04-27"/>
    <x v="3"/>
    <x v="3"/>
    <x v="1"/>
    <s v="Income Statement"/>
    <n v="285.19"/>
  </r>
  <r>
    <s v="TRX-1493"/>
    <s v="2024-01-11"/>
    <x v="3"/>
    <x v="3"/>
    <x v="1"/>
    <s v="Income Statement"/>
    <n v="142.35"/>
  </r>
  <r>
    <s v="TRX-1497"/>
    <s v="2024-10-19"/>
    <x v="3"/>
    <x v="3"/>
    <x v="1"/>
    <s v="Income Statement"/>
    <n v="585.41"/>
  </r>
  <r>
    <s v="TRX-1499"/>
    <s v="2024-07-16"/>
    <x v="3"/>
    <x v="3"/>
    <x v="1"/>
    <s v="Income Statement"/>
    <n v="563.99"/>
  </r>
  <r>
    <s v="TRX-1000"/>
    <s v="2024-06-07"/>
    <x v="4"/>
    <x v="4"/>
    <x v="1"/>
    <s v="Income Statement"/>
    <n v="1783.54"/>
  </r>
  <r>
    <s v="TRX-1006"/>
    <s v="2024-09-19"/>
    <x v="4"/>
    <x v="4"/>
    <x v="1"/>
    <s v="Income Statement"/>
    <n v="720.63"/>
  </r>
  <r>
    <s v="TRX-1010"/>
    <s v="2024-12-06"/>
    <x v="4"/>
    <x v="4"/>
    <x v="1"/>
    <s v="Income Statement"/>
    <n v="1485.19"/>
  </r>
  <r>
    <s v="TRX-1028"/>
    <s v="2024-12-28"/>
    <x v="4"/>
    <x v="4"/>
    <x v="1"/>
    <s v="Income Statement"/>
    <n v="1556.62"/>
  </r>
  <r>
    <s v="TRX-1031"/>
    <s v="2024-09-21"/>
    <x v="4"/>
    <x v="4"/>
    <x v="1"/>
    <s v="Income Statement"/>
    <n v="517.20000000000005"/>
  </r>
  <r>
    <s v="TRX-1032"/>
    <s v="2024-09-08"/>
    <x v="4"/>
    <x v="4"/>
    <x v="1"/>
    <s v="Income Statement"/>
    <n v="1713.08"/>
  </r>
  <r>
    <s v="TRX-1033"/>
    <s v="2024-05-19"/>
    <x v="4"/>
    <x v="4"/>
    <x v="1"/>
    <s v="Income Statement"/>
    <n v="1426.96"/>
  </r>
  <r>
    <s v="TRX-1037"/>
    <s v="2024-03-08"/>
    <x v="4"/>
    <x v="4"/>
    <x v="1"/>
    <s v="Income Statement"/>
    <n v="2362.96"/>
  </r>
  <r>
    <s v="TRX-1041"/>
    <s v="2024-10-27"/>
    <x v="4"/>
    <x v="4"/>
    <x v="1"/>
    <s v="Income Statement"/>
    <n v="1731.49"/>
  </r>
  <r>
    <s v="TRX-1042"/>
    <s v="2024-05-23"/>
    <x v="4"/>
    <x v="4"/>
    <x v="1"/>
    <s v="Income Statement"/>
    <n v="1715.51"/>
  </r>
  <r>
    <s v="TRX-1046"/>
    <s v="2024-04-27"/>
    <x v="4"/>
    <x v="4"/>
    <x v="1"/>
    <s v="Income Statement"/>
    <n v="1982.79"/>
  </r>
  <r>
    <s v="TRX-1047"/>
    <s v="2024-07-09"/>
    <x v="4"/>
    <x v="4"/>
    <x v="1"/>
    <s v="Income Statement"/>
    <n v="2286.02"/>
  </r>
  <r>
    <s v="TRX-1050"/>
    <s v="2024-07-06"/>
    <x v="4"/>
    <x v="4"/>
    <x v="1"/>
    <s v="Income Statement"/>
    <n v="1210.74"/>
  </r>
  <r>
    <s v="TRX-1051"/>
    <s v="2024-12-21"/>
    <x v="4"/>
    <x v="4"/>
    <x v="1"/>
    <s v="Income Statement"/>
    <n v="1367.25"/>
  </r>
  <r>
    <s v="TRX-1053"/>
    <s v="2024-05-24"/>
    <x v="4"/>
    <x v="4"/>
    <x v="1"/>
    <s v="Income Statement"/>
    <n v="798.18"/>
  </r>
  <r>
    <s v="TRX-1054"/>
    <s v="2024-04-21"/>
    <x v="4"/>
    <x v="4"/>
    <x v="1"/>
    <s v="Income Statement"/>
    <n v="1589.17"/>
  </r>
  <r>
    <s v="TRX-1059"/>
    <s v="2024-02-03"/>
    <x v="4"/>
    <x v="4"/>
    <x v="1"/>
    <s v="Income Statement"/>
    <n v="2166.31"/>
  </r>
  <r>
    <s v="TRX-1060"/>
    <s v="2024-09-25"/>
    <x v="4"/>
    <x v="4"/>
    <x v="1"/>
    <s v="Income Statement"/>
    <n v="569.1"/>
  </r>
  <r>
    <s v="TRX-1062"/>
    <s v="2024-04-16"/>
    <x v="4"/>
    <x v="4"/>
    <x v="1"/>
    <s v="Income Statement"/>
    <n v="2495.21"/>
  </r>
  <r>
    <s v="TRX-1064"/>
    <s v="2024-03-29"/>
    <x v="4"/>
    <x v="4"/>
    <x v="1"/>
    <s v="Income Statement"/>
    <n v="835.2"/>
  </r>
  <r>
    <s v="TRX-1065"/>
    <s v="2024-10-20"/>
    <x v="4"/>
    <x v="4"/>
    <x v="1"/>
    <s v="Income Statement"/>
    <n v="1348.18"/>
  </r>
  <r>
    <s v="TRX-1068"/>
    <s v="2024-01-03"/>
    <x v="4"/>
    <x v="4"/>
    <x v="1"/>
    <s v="Income Statement"/>
    <n v="1443.92"/>
  </r>
  <r>
    <s v="TRX-1073"/>
    <s v="2024-07-18"/>
    <x v="4"/>
    <x v="4"/>
    <x v="1"/>
    <s v="Income Statement"/>
    <n v="2359.12"/>
  </r>
  <r>
    <s v="TRX-1074"/>
    <s v="2024-11-15"/>
    <x v="4"/>
    <x v="4"/>
    <x v="1"/>
    <s v="Income Statement"/>
    <n v="1529.23"/>
  </r>
  <r>
    <s v="TRX-1077"/>
    <s v="2024-09-14"/>
    <x v="4"/>
    <x v="4"/>
    <x v="1"/>
    <s v="Income Statement"/>
    <n v="2306.88"/>
  </r>
  <r>
    <s v="TRX-1078"/>
    <s v="2024-04-04"/>
    <x v="4"/>
    <x v="4"/>
    <x v="1"/>
    <s v="Income Statement"/>
    <n v="1427.61"/>
  </r>
  <r>
    <s v="TRX-1079"/>
    <s v="2024-04-13"/>
    <x v="4"/>
    <x v="4"/>
    <x v="1"/>
    <s v="Income Statement"/>
    <n v="1597.39"/>
  </r>
  <r>
    <s v="TRX-1086"/>
    <s v="2024-05-25"/>
    <x v="4"/>
    <x v="4"/>
    <x v="1"/>
    <s v="Income Statement"/>
    <n v="1444.41"/>
  </r>
  <r>
    <s v="TRX-1089"/>
    <s v="2024-08-07"/>
    <x v="4"/>
    <x v="4"/>
    <x v="1"/>
    <s v="Income Statement"/>
    <n v="1445.02"/>
  </r>
  <r>
    <s v="TRX-1093"/>
    <s v="2024-09-15"/>
    <x v="4"/>
    <x v="4"/>
    <x v="1"/>
    <s v="Income Statement"/>
    <n v="1854.22"/>
  </r>
  <r>
    <s v="TRX-1102"/>
    <s v="2024-08-03"/>
    <x v="4"/>
    <x v="4"/>
    <x v="1"/>
    <s v="Income Statement"/>
    <n v="1239.52"/>
  </r>
  <r>
    <s v="TRX-1120"/>
    <s v="2024-06-23"/>
    <x v="4"/>
    <x v="4"/>
    <x v="1"/>
    <s v="Income Statement"/>
    <n v="2019.28"/>
  </r>
  <r>
    <s v="TRX-1122"/>
    <s v="2024-11-27"/>
    <x v="4"/>
    <x v="4"/>
    <x v="1"/>
    <s v="Income Statement"/>
    <n v="1549.07"/>
  </r>
  <r>
    <s v="TRX-1126"/>
    <s v="2024-08-17"/>
    <x v="4"/>
    <x v="4"/>
    <x v="1"/>
    <s v="Income Statement"/>
    <n v="1026.3699999999999"/>
  </r>
  <r>
    <s v="TRX-1127"/>
    <s v="2024-08-01"/>
    <x v="4"/>
    <x v="4"/>
    <x v="1"/>
    <s v="Income Statement"/>
    <n v="2047.24"/>
  </r>
  <r>
    <s v="TRX-1130"/>
    <s v="2024-04-14"/>
    <x v="4"/>
    <x v="4"/>
    <x v="1"/>
    <s v="Income Statement"/>
    <n v="1270.49"/>
  </r>
  <r>
    <s v="TRX-1139"/>
    <s v="2024-04-25"/>
    <x v="4"/>
    <x v="4"/>
    <x v="1"/>
    <s v="Income Statement"/>
    <n v="2178.91"/>
  </r>
  <r>
    <s v="TRX-1140"/>
    <s v="2024-05-10"/>
    <x v="4"/>
    <x v="4"/>
    <x v="1"/>
    <s v="Income Statement"/>
    <n v="2118.91"/>
  </r>
  <r>
    <s v="TRX-1145"/>
    <s v="2024-10-29"/>
    <x v="4"/>
    <x v="4"/>
    <x v="1"/>
    <s v="Income Statement"/>
    <n v="1305.58"/>
  </r>
  <r>
    <s v="TRX-1154"/>
    <s v="2024-12-09"/>
    <x v="4"/>
    <x v="4"/>
    <x v="1"/>
    <s v="Income Statement"/>
    <n v="2085.2399999999998"/>
  </r>
  <r>
    <s v="TRX-1155"/>
    <s v="2024-03-13"/>
    <x v="4"/>
    <x v="4"/>
    <x v="1"/>
    <s v="Income Statement"/>
    <n v="2056.38"/>
  </r>
  <r>
    <s v="TRX-1157"/>
    <s v="2024-01-30"/>
    <x v="4"/>
    <x v="4"/>
    <x v="1"/>
    <s v="Income Statement"/>
    <n v="751.92"/>
  </r>
  <r>
    <s v="TRX-1158"/>
    <s v="2024-07-23"/>
    <x v="4"/>
    <x v="4"/>
    <x v="1"/>
    <s v="Income Statement"/>
    <n v="1584.05"/>
  </r>
  <r>
    <s v="TRX-1161"/>
    <s v="2024-11-05"/>
    <x v="4"/>
    <x v="4"/>
    <x v="1"/>
    <s v="Income Statement"/>
    <n v="1322.21"/>
  </r>
  <r>
    <s v="TRX-1163"/>
    <s v="2024-04-05"/>
    <x v="4"/>
    <x v="4"/>
    <x v="1"/>
    <s v="Income Statement"/>
    <n v="1766.62"/>
  </r>
  <r>
    <s v="TRX-1164"/>
    <s v="2024-11-11"/>
    <x v="4"/>
    <x v="4"/>
    <x v="1"/>
    <s v="Income Statement"/>
    <n v="784.53"/>
  </r>
  <r>
    <s v="TRX-1166"/>
    <s v="2024-11-06"/>
    <x v="4"/>
    <x v="4"/>
    <x v="1"/>
    <s v="Income Statement"/>
    <n v="1335.72"/>
  </r>
  <r>
    <s v="TRX-1172"/>
    <s v="2024-03-27"/>
    <x v="4"/>
    <x v="4"/>
    <x v="1"/>
    <s v="Income Statement"/>
    <n v="1004.45"/>
  </r>
  <r>
    <s v="TRX-1176"/>
    <s v="2024-04-10"/>
    <x v="4"/>
    <x v="4"/>
    <x v="1"/>
    <s v="Income Statement"/>
    <n v="2421.91"/>
  </r>
  <r>
    <s v="TRX-1180"/>
    <s v="2024-09-03"/>
    <x v="4"/>
    <x v="4"/>
    <x v="1"/>
    <s v="Income Statement"/>
    <n v="759.63"/>
  </r>
  <r>
    <s v="TRX-1185"/>
    <s v="2024-11-06"/>
    <x v="4"/>
    <x v="4"/>
    <x v="1"/>
    <s v="Income Statement"/>
    <n v="2291.48"/>
  </r>
  <r>
    <s v="TRX-1187"/>
    <s v="2024-12-06"/>
    <x v="4"/>
    <x v="4"/>
    <x v="1"/>
    <s v="Income Statement"/>
    <n v="947.71"/>
  </r>
  <r>
    <s v="TRX-1189"/>
    <s v="2024-10-27"/>
    <x v="4"/>
    <x v="4"/>
    <x v="1"/>
    <s v="Income Statement"/>
    <n v="2382.1"/>
  </r>
  <r>
    <s v="TRX-1194"/>
    <s v="2024-10-19"/>
    <x v="4"/>
    <x v="4"/>
    <x v="1"/>
    <s v="Income Statement"/>
    <n v="1972.49"/>
  </r>
  <r>
    <s v="TRX-1198"/>
    <s v="2024-06-01"/>
    <x v="4"/>
    <x v="4"/>
    <x v="1"/>
    <s v="Income Statement"/>
    <n v="2383.1"/>
  </r>
  <r>
    <s v="TRX-1201"/>
    <s v="2024-04-01"/>
    <x v="4"/>
    <x v="4"/>
    <x v="1"/>
    <s v="Income Statement"/>
    <n v="1127.3900000000001"/>
  </r>
  <r>
    <s v="TRX-1206"/>
    <s v="2024-10-30"/>
    <x v="4"/>
    <x v="4"/>
    <x v="1"/>
    <s v="Income Statement"/>
    <n v="683.13"/>
  </r>
  <r>
    <s v="TRX-1211"/>
    <s v="2024-05-15"/>
    <x v="4"/>
    <x v="4"/>
    <x v="1"/>
    <s v="Income Statement"/>
    <n v="2446.83"/>
  </r>
  <r>
    <s v="TRX-1214"/>
    <s v="2024-08-18"/>
    <x v="4"/>
    <x v="4"/>
    <x v="1"/>
    <s v="Income Statement"/>
    <n v="1861.29"/>
  </r>
  <r>
    <s v="TRX-1223"/>
    <s v="2024-10-22"/>
    <x v="4"/>
    <x v="4"/>
    <x v="1"/>
    <s v="Income Statement"/>
    <n v="1436.51"/>
  </r>
  <r>
    <s v="TRX-1225"/>
    <s v="2024-10-30"/>
    <x v="4"/>
    <x v="4"/>
    <x v="1"/>
    <s v="Income Statement"/>
    <n v="2259.69"/>
  </r>
  <r>
    <s v="TRX-1229"/>
    <s v="2024-03-03"/>
    <x v="4"/>
    <x v="4"/>
    <x v="1"/>
    <s v="Income Statement"/>
    <n v="805.05"/>
  </r>
  <r>
    <s v="TRX-1234"/>
    <s v="2024-10-15"/>
    <x v="4"/>
    <x v="4"/>
    <x v="1"/>
    <s v="Income Statement"/>
    <n v="2035.47"/>
  </r>
  <r>
    <s v="TRX-1235"/>
    <s v="2024-10-26"/>
    <x v="4"/>
    <x v="4"/>
    <x v="1"/>
    <s v="Income Statement"/>
    <n v="640.16"/>
  </r>
  <r>
    <s v="TRX-1237"/>
    <s v="2024-09-07"/>
    <x v="4"/>
    <x v="4"/>
    <x v="1"/>
    <s v="Income Statement"/>
    <n v="1655.34"/>
  </r>
  <r>
    <s v="TRX-1238"/>
    <s v="2024-10-02"/>
    <x v="4"/>
    <x v="4"/>
    <x v="1"/>
    <s v="Income Statement"/>
    <n v="1724.81"/>
  </r>
  <r>
    <s v="TRX-1247"/>
    <s v="2024-12-08"/>
    <x v="4"/>
    <x v="4"/>
    <x v="1"/>
    <s v="Income Statement"/>
    <n v="2243.02"/>
  </r>
  <r>
    <s v="TRX-1252"/>
    <s v="2024-12-18"/>
    <x v="4"/>
    <x v="4"/>
    <x v="1"/>
    <s v="Income Statement"/>
    <n v="667.85"/>
  </r>
  <r>
    <s v="TRX-1253"/>
    <s v="2024-01-24"/>
    <x v="4"/>
    <x v="4"/>
    <x v="1"/>
    <s v="Income Statement"/>
    <n v="1357.8"/>
  </r>
  <r>
    <s v="TRX-1255"/>
    <s v="2024-04-25"/>
    <x v="4"/>
    <x v="4"/>
    <x v="1"/>
    <s v="Income Statement"/>
    <n v="1782.89"/>
  </r>
  <r>
    <s v="TRX-1257"/>
    <s v="2024-10-19"/>
    <x v="4"/>
    <x v="4"/>
    <x v="1"/>
    <s v="Income Statement"/>
    <n v="1534.26"/>
  </r>
  <r>
    <s v="TRX-1258"/>
    <s v="2024-04-03"/>
    <x v="4"/>
    <x v="4"/>
    <x v="1"/>
    <s v="Income Statement"/>
    <n v="1936.14"/>
  </r>
  <r>
    <s v="TRX-1259"/>
    <s v="2024-08-16"/>
    <x v="4"/>
    <x v="4"/>
    <x v="1"/>
    <s v="Income Statement"/>
    <n v="1734.99"/>
  </r>
  <r>
    <s v="TRX-1260"/>
    <s v="2024-10-25"/>
    <x v="4"/>
    <x v="4"/>
    <x v="1"/>
    <s v="Income Statement"/>
    <n v="2130.84"/>
  </r>
  <r>
    <s v="TRX-1261"/>
    <s v="2024-12-29"/>
    <x v="4"/>
    <x v="4"/>
    <x v="1"/>
    <s v="Income Statement"/>
    <n v="1125.51"/>
  </r>
  <r>
    <s v="TRX-1265"/>
    <s v="2024-10-25"/>
    <x v="4"/>
    <x v="4"/>
    <x v="1"/>
    <s v="Income Statement"/>
    <n v="2333.92"/>
  </r>
  <r>
    <s v="TRX-1266"/>
    <s v="2024-01-18"/>
    <x v="4"/>
    <x v="4"/>
    <x v="1"/>
    <s v="Income Statement"/>
    <n v="1160.42"/>
  </r>
  <r>
    <s v="TRX-1273"/>
    <s v="2024-03-08"/>
    <x v="4"/>
    <x v="4"/>
    <x v="1"/>
    <s v="Income Statement"/>
    <n v="1752.84"/>
  </r>
  <r>
    <s v="TRX-1278"/>
    <s v="2024-09-13"/>
    <x v="4"/>
    <x v="4"/>
    <x v="1"/>
    <s v="Income Statement"/>
    <n v="1368.59"/>
  </r>
  <r>
    <s v="TRX-1279"/>
    <s v="2024-04-05"/>
    <x v="4"/>
    <x v="4"/>
    <x v="1"/>
    <s v="Income Statement"/>
    <n v="1976.9"/>
  </r>
  <r>
    <s v="TRX-1280"/>
    <s v="2024-07-30"/>
    <x v="4"/>
    <x v="4"/>
    <x v="1"/>
    <s v="Income Statement"/>
    <n v="1434.1"/>
  </r>
  <r>
    <s v="TRX-1281"/>
    <s v="2024-02-03"/>
    <x v="4"/>
    <x v="4"/>
    <x v="1"/>
    <s v="Income Statement"/>
    <n v="2191.69"/>
  </r>
  <r>
    <s v="TRX-1283"/>
    <s v="2024-10-14"/>
    <x v="4"/>
    <x v="4"/>
    <x v="1"/>
    <s v="Income Statement"/>
    <n v="676.44"/>
  </r>
  <r>
    <s v="TRX-1286"/>
    <s v="2024-03-05"/>
    <x v="4"/>
    <x v="4"/>
    <x v="1"/>
    <s v="Income Statement"/>
    <n v="760.65"/>
  </r>
  <r>
    <s v="TRX-1289"/>
    <s v="2024-06-11"/>
    <x v="4"/>
    <x v="4"/>
    <x v="1"/>
    <s v="Income Statement"/>
    <n v="1069.5899999999999"/>
  </r>
  <r>
    <s v="TRX-1302"/>
    <s v="2024-02-25"/>
    <x v="4"/>
    <x v="4"/>
    <x v="1"/>
    <s v="Income Statement"/>
    <n v="1029.04"/>
  </r>
  <r>
    <s v="TRX-1303"/>
    <s v="2024-12-29"/>
    <x v="4"/>
    <x v="4"/>
    <x v="1"/>
    <s v="Income Statement"/>
    <n v="1592.7"/>
  </r>
  <r>
    <s v="TRX-1304"/>
    <s v="2024-10-23"/>
    <x v="4"/>
    <x v="4"/>
    <x v="1"/>
    <s v="Income Statement"/>
    <n v="1463.63"/>
  </r>
  <r>
    <s v="TRX-1322"/>
    <s v="2024-10-17"/>
    <x v="4"/>
    <x v="4"/>
    <x v="1"/>
    <s v="Income Statement"/>
    <n v="1581.87"/>
  </r>
  <r>
    <s v="TRX-1326"/>
    <s v="2024-12-26"/>
    <x v="4"/>
    <x v="4"/>
    <x v="1"/>
    <s v="Income Statement"/>
    <n v="1573.13"/>
  </r>
  <r>
    <s v="TRX-1333"/>
    <s v="2024-10-08"/>
    <x v="4"/>
    <x v="4"/>
    <x v="1"/>
    <s v="Income Statement"/>
    <n v="1300.93"/>
  </r>
  <r>
    <s v="TRX-1334"/>
    <s v="2024-10-17"/>
    <x v="4"/>
    <x v="4"/>
    <x v="1"/>
    <s v="Income Statement"/>
    <n v="2198.09"/>
  </r>
  <r>
    <s v="TRX-1335"/>
    <s v="2024-08-14"/>
    <x v="4"/>
    <x v="4"/>
    <x v="1"/>
    <s v="Income Statement"/>
    <n v="1721.65"/>
  </r>
  <r>
    <s v="TRX-1337"/>
    <s v="2024-04-27"/>
    <x v="4"/>
    <x v="4"/>
    <x v="1"/>
    <s v="Income Statement"/>
    <n v="676.96"/>
  </r>
  <r>
    <s v="TRX-1342"/>
    <s v="2024-11-01"/>
    <x v="4"/>
    <x v="4"/>
    <x v="1"/>
    <s v="Income Statement"/>
    <n v="1884.3"/>
  </r>
  <r>
    <s v="TRX-1348"/>
    <s v="2024-07-31"/>
    <x v="4"/>
    <x v="4"/>
    <x v="1"/>
    <s v="Income Statement"/>
    <n v="886"/>
  </r>
  <r>
    <s v="TRX-1366"/>
    <s v="2024-12-03"/>
    <x v="4"/>
    <x v="4"/>
    <x v="1"/>
    <s v="Income Statement"/>
    <n v="1695.42"/>
  </r>
  <r>
    <s v="TRX-1373"/>
    <s v="2024-01-08"/>
    <x v="4"/>
    <x v="4"/>
    <x v="1"/>
    <s v="Income Statement"/>
    <n v="1547.32"/>
  </r>
  <r>
    <s v="TRX-1376"/>
    <s v="2024-03-21"/>
    <x v="4"/>
    <x v="4"/>
    <x v="1"/>
    <s v="Income Statement"/>
    <n v="1773.15"/>
  </r>
  <r>
    <s v="TRX-1378"/>
    <s v="2024-01-21"/>
    <x v="4"/>
    <x v="4"/>
    <x v="1"/>
    <s v="Income Statement"/>
    <n v="2225.71"/>
  </r>
  <r>
    <s v="TRX-1382"/>
    <s v="2024-04-30"/>
    <x v="4"/>
    <x v="4"/>
    <x v="1"/>
    <s v="Income Statement"/>
    <n v="2215.86"/>
  </r>
  <r>
    <s v="TRX-1389"/>
    <s v="2024-07-03"/>
    <x v="4"/>
    <x v="4"/>
    <x v="1"/>
    <s v="Income Statement"/>
    <n v="935.38"/>
  </r>
  <r>
    <s v="TRX-1392"/>
    <s v="2024-10-12"/>
    <x v="4"/>
    <x v="4"/>
    <x v="1"/>
    <s v="Income Statement"/>
    <n v="1183.1400000000001"/>
  </r>
  <r>
    <s v="TRX-1399"/>
    <s v="2024-06-16"/>
    <x v="4"/>
    <x v="4"/>
    <x v="1"/>
    <s v="Income Statement"/>
    <n v="1625.27"/>
  </r>
  <r>
    <s v="TRX-1401"/>
    <s v="2024-01-06"/>
    <x v="4"/>
    <x v="4"/>
    <x v="1"/>
    <s v="Income Statement"/>
    <n v="2498.5700000000002"/>
  </r>
  <r>
    <s v="TRX-1403"/>
    <s v="2024-11-06"/>
    <x v="4"/>
    <x v="4"/>
    <x v="1"/>
    <s v="Income Statement"/>
    <n v="1318.33"/>
  </r>
  <r>
    <s v="TRX-1409"/>
    <s v="2024-04-16"/>
    <x v="4"/>
    <x v="4"/>
    <x v="1"/>
    <s v="Income Statement"/>
    <n v="1671.01"/>
  </r>
  <r>
    <s v="TRX-1421"/>
    <s v="2024-12-08"/>
    <x v="4"/>
    <x v="4"/>
    <x v="1"/>
    <s v="Income Statement"/>
    <n v="1931.59"/>
  </r>
  <r>
    <s v="TRX-1422"/>
    <s v="2024-10-18"/>
    <x v="4"/>
    <x v="4"/>
    <x v="1"/>
    <s v="Income Statement"/>
    <n v="1126.56"/>
  </r>
  <r>
    <s v="TRX-1427"/>
    <s v="2024-07-30"/>
    <x v="4"/>
    <x v="4"/>
    <x v="1"/>
    <s v="Income Statement"/>
    <n v="828.08"/>
  </r>
  <r>
    <s v="TRX-1429"/>
    <s v="2024-07-04"/>
    <x v="4"/>
    <x v="4"/>
    <x v="1"/>
    <s v="Income Statement"/>
    <n v="2031.58"/>
  </r>
  <r>
    <s v="TRX-1434"/>
    <s v="2024-02-05"/>
    <x v="4"/>
    <x v="4"/>
    <x v="1"/>
    <s v="Income Statement"/>
    <n v="1723.17"/>
  </r>
  <r>
    <s v="TRX-1440"/>
    <s v="2024-05-18"/>
    <x v="4"/>
    <x v="4"/>
    <x v="1"/>
    <s v="Income Statement"/>
    <n v="1203.07"/>
  </r>
  <r>
    <s v="TRX-1442"/>
    <s v="2024-08-30"/>
    <x v="4"/>
    <x v="4"/>
    <x v="1"/>
    <s v="Income Statement"/>
    <n v="1704.65"/>
  </r>
  <r>
    <s v="TRX-1459"/>
    <s v="2024-11-12"/>
    <x v="4"/>
    <x v="4"/>
    <x v="1"/>
    <s v="Income Statement"/>
    <n v="2067.27"/>
  </r>
  <r>
    <s v="TRX-1460"/>
    <s v="2024-02-20"/>
    <x v="4"/>
    <x v="4"/>
    <x v="1"/>
    <s v="Income Statement"/>
    <n v="1138.8800000000001"/>
  </r>
  <r>
    <s v="TRX-1462"/>
    <s v="2024-05-10"/>
    <x v="4"/>
    <x v="4"/>
    <x v="1"/>
    <s v="Income Statement"/>
    <n v="2451.15"/>
  </r>
  <r>
    <s v="TRX-1464"/>
    <s v="2024-12-03"/>
    <x v="4"/>
    <x v="4"/>
    <x v="1"/>
    <s v="Income Statement"/>
    <n v="631.30999999999995"/>
  </r>
  <r>
    <s v="TRX-1468"/>
    <s v="2024-04-22"/>
    <x v="4"/>
    <x v="4"/>
    <x v="1"/>
    <s v="Income Statement"/>
    <n v="1792.13"/>
  </r>
  <r>
    <s v="TRX-1482"/>
    <s v="2024-05-04"/>
    <x v="4"/>
    <x v="4"/>
    <x v="1"/>
    <s v="Income Statement"/>
    <n v="1824.02"/>
  </r>
  <r>
    <s v="TRX-1485"/>
    <s v="2024-08-10"/>
    <x v="4"/>
    <x v="4"/>
    <x v="1"/>
    <s v="Income Statement"/>
    <n v="1408.98"/>
  </r>
  <r>
    <s v="TRX-1492"/>
    <s v="2024-10-17"/>
    <x v="4"/>
    <x v="4"/>
    <x v="1"/>
    <s v="Income Statement"/>
    <n v="1002.1"/>
  </r>
  <r>
    <s v="TRX-1003"/>
    <s v="2024-08-02"/>
    <x v="5"/>
    <x v="5"/>
    <x v="2"/>
    <s v="Income Statement"/>
    <n v="-4978.93"/>
  </r>
  <r>
    <s v="TRX-1016"/>
    <s v="2024-01-01"/>
    <x v="5"/>
    <x v="5"/>
    <x v="2"/>
    <s v="Income Statement"/>
    <n v="-3156.71"/>
  </r>
  <r>
    <s v="TRX-1022"/>
    <s v="2024-09-20"/>
    <x v="5"/>
    <x v="5"/>
    <x v="2"/>
    <s v="Income Statement"/>
    <n v="-1471.43"/>
  </r>
  <r>
    <s v="TRX-1026"/>
    <s v="2024-06-09"/>
    <x v="5"/>
    <x v="5"/>
    <x v="2"/>
    <s v="Income Statement"/>
    <n v="-3617.97"/>
  </r>
  <r>
    <s v="TRX-1036"/>
    <s v="2024-02-11"/>
    <x v="5"/>
    <x v="5"/>
    <x v="2"/>
    <s v="Income Statement"/>
    <n v="-1713.5"/>
  </r>
  <r>
    <s v="TRX-1040"/>
    <s v="2024-11-26"/>
    <x v="5"/>
    <x v="5"/>
    <x v="2"/>
    <s v="Income Statement"/>
    <n v="-4295.1000000000004"/>
  </r>
  <r>
    <s v="TRX-1044"/>
    <s v="2024-05-17"/>
    <x v="5"/>
    <x v="5"/>
    <x v="2"/>
    <s v="Income Statement"/>
    <n v="-2665.73"/>
  </r>
  <r>
    <s v="TRX-1048"/>
    <s v="2024-10-20"/>
    <x v="5"/>
    <x v="5"/>
    <x v="2"/>
    <s v="Income Statement"/>
    <n v="-4666.18"/>
  </r>
  <r>
    <s v="TRX-1066"/>
    <s v="2024-04-05"/>
    <x v="5"/>
    <x v="5"/>
    <x v="2"/>
    <s v="Income Statement"/>
    <n v="-1439.81"/>
  </r>
  <r>
    <s v="TRX-1067"/>
    <s v="2024-08-28"/>
    <x v="5"/>
    <x v="5"/>
    <x v="2"/>
    <s v="Income Statement"/>
    <n v="-2214.75"/>
  </r>
  <r>
    <s v="TRX-1070"/>
    <s v="2024-02-14"/>
    <x v="5"/>
    <x v="5"/>
    <x v="2"/>
    <s v="Income Statement"/>
    <n v="-2852.69"/>
  </r>
  <r>
    <s v="TRX-1075"/>
    <s v="2024-12-29"/>
    <x v="5"/>
    <x v="5"/>
    <x v="2"/>
    <s v="Income Statement"/>
    <n v="-4487.46"/>
  </r>
  <r>
    <s v="TRX-1084"/>
    <s v="2024-01-23"/>
    <x v="5"/>
    <x v="5"/>
    <x v="2"/>
    <s v="Income Statement"/>
    <n v="-2183.66"/>
  </r>
  <r>
    <s v="TRX-1099"/>
    <s v="2024-05-07"/>
    <x v="5"/>
    <x v="5"/>
    <x v="2"/>
    <s v="Income Statement"/>
    <n v="-4723.25"/>
  </r>
  <r>
    <s v="TRX-1104"/>
    <s v="2024-06-14"/>
    <x v="5"/>
    <x v="5"/>
    <x v="2"/>
    <s v="Income Statement"/>
    <n v="-4251.3599999999997"/>
  </r>
  <r>
    <s v="TRX-1105"/>
    <s v="2024-01-12"/>
    <x v="5"/>
    <x v="5"/>
    <x v="2"/>
    <s v="Income Statement"/>
    <n v="-4023.18"/>
  </r>
  <r>
    <s v="TRX-1107"/>
    <s v="2024-03-29"/>
    <x v="5"/>
    <x v="5"/>
    <x v="2"/>
    <s v="Income Statement"/>
    <n v="-1417.13"/>
  </r>
  <r>
    <s v="TRX-1108"/>
    <s v="2024-05-10"/>
    <x v="5"/>
    <x v="5"/>
    <x v="2"/>
    <s v="Income Statement"/>
    <n v="-4710.8900000000003"/>
  </r>
  <r>
    <s v="TRX-1109"/>
    <s v="2024-04-28"/>
    <x v="5"/>
    <x v="5"/>
    <x v="2"/>
    <s v="Income Statement"/>
    <n v="-1039.8"/>
  </r>
  <r>
    <s v="TRX-1110"/>
    <s v="2024-02-08"/>
    <x v="5"/>
    <x v="5"/>
    <x v="2"/>
    <s v="Income Statement"/>
    <n v="-4970.38"/>
  </r>
  <r>
    <s v="TRX-1111"/>
    <s v="2024-01-14"/>
    <x v="5"/>
    <x v="5"/>
    <x v="2"/>
    <s v="Income Statement"/>
    <n v="-3241"/>
  </r>
  <r>
    <s v="TRX-1113"/>
    <s v="2024-01-27"/>
    <x v="5"/>
    <x v="5"/>
    <x v="2"/>
    <s v="Income Statement"/>
    <n v="-4236.47"/>
  </r>
  <r>
    <s v="TRX-1114"/>
    <s v="2024-01-03"/>
    <x v="5"/>
    <x v="5"/>
    <x v="2"/>
    <s v="Income Statement"/>
    <n v="-2886.05"/>
  </r>
  <r>
    <s v="TRX-1115"/>
    <s v="2024-01-12"/>
    <x v="5"/>
    <x v="5"/>
    <x v="2"/>
    <s v="Income Statement"/>
    <n v="-3588.62"/>
  </r>
  <r>
    <s v="TRX-1116"/>
    <s v="2024-03-14"/>
    <x v="5"/>
    <x v="5"/>
    <x v="2"/>
    <s v="Income Statement"/>
    <n v="-2096.0300000000002"/>
  </r>
  <r>
    <s v="TRX-1125"/>
    <s v="2024-06-15"/>
    <x v="5"/>
    <x v="5"/>
    <x v="2"/>
    <s v="Income Statement"/>
    <n v="-4659.41"/>
  </r>
  <r>
    <s v="TRX-1132"/>
    <s v="2024-06-14"/>
    <x v="5"/>
    <x v="5"/>
    <x v="2"/>
    <s v="Income Statement"/>
    <n v="-2027.18"/>
  </r>
  <r>
    <s v="TRX-1135"/>
    <s v="2024-07-01"/>
    <x v="5"/>
    <x v="5"/>
    <x v="2"/>
    <s v="Income Statement"/>
    <n v="-1917.34"/>
  </r>
  <r>
    <s v="TRX-1143"/>
    <s v="2024-11-16"/>
    <x v="5"/>
    <x v="5"/>
    <x v="2"/>
    <s v="Income Statement"/>
    <n v="-1569.21"/>
  </r>
  <r>
    <s v="TRX-1147"/>
    <s v="2024-01-31"/>
    <x v="5"/>
    <x v="5"/>
    <x v="2"/>
    <s v="Income Statement"/>
    <n v="-4108.72"/>
  </r>
  <r>
    <s v="TRX-1149"/>
    <s v="2024-03-31"/>
    <x v="5"/>
    <x v="5"/>
    <x v="2"/>
    <s v="Income Statement"/>
    <n v="-2639.69"/>
  </r>
  <r>
    <s v="TRX-1159"/>
    <s v="2024-08-02"/>
    <x v="5"/>
    <x v="5"/>
    <x v="2"/>
    <s v="Income Statement"/>
    <n v="-2690.75"/>
  </r>
  <r>
    <s v="TRX-1169"/>
    <s v="2024-06-16"/>
    <x v="5"/>
    <x v="5"/>
    <x v="2"/>
    <s v="Income Statement"/>
    <n v="-1113.2"/>
  </r>
  <r>
    <s v="TRX-1173"/>
    <s v="2024-10-01"/>
    <x v="5"/>
    <x v="5"/>
    <x v="2"/>
    <s v="Income Statement"/>
    <n v="-4350.0200000000004"/>
  </r>
  <r>
    <s v="TRX-1183"/>
    <s v="2024-08-04"/>
    <x v="5"/>
    <x v="5"/>
    <x v="2"/>
    <s v="Income Statement"/>
    <n v="-4947.87"/>
  </r>
  <r>
    <s v="TRX-1193"/>
    <s v="2024-02-02"/>
    <x v="5"/>
    <x v="5"/>
    <x v="2"/>
    <s v="Income Statement"/>
    <n v="-2865.72"/>
  </r>
  <r>
    <s v="TRX-1205"/>
    <s v="2024-12-23"/>
    <x v="5"/>
    <x v="5"/>
    <x v="2"/>
    <s v="Income Statement"/>
    <n v="-2279.5300000000002"/>
  </r>
  <r>
    <s v="TRX-1216"/>
    <s v="2024-06-07"/>
    <x v="5"/>
    <x v="5"/>
    <x v="2"/>
    <s v="Income Statement"/>
    <n v="-1073.8800000000001"/>
  </r>
  <r>
    <s v="TRX-1226"/>
    <s v="2024-01-24"/>
    <x v="5"/>
    <x v="5"/>
    <x v="2"/>
    <s v="Income Statement"/>
    <n v="-3460.7"/>
  </r>
  <r>
    <s v="TRX-1239"/>
    <s v="2024-10-14"/>
    <x v="5"/>
    <x v="5"/>
    <x v="2"/>
    <s v="Income Statement"/>
    <n v="-1326.42"/>
  </r>
  <r>
    <s v="TRX-1244"/>
    <s v="2024-06-02"/>
    <x v="5"/>
    <x v="5"/>
    <x v="2"/>
    <s v="Income Statement"/>
    <n v="-4345.25"/>
  </r>
  <r>
    <s v="TRX-1250"/>
    <s v="2024-12-16"/>
    <x v="5"/>
    <x v="5"/>
    <x v="2"/>
    <s v="Income Statement"/>
    <n v="-3896.88"/>
  </r>
  <r>
    <s v="TRX-1270"/>
    <s v="2024-03-28"/>
    <x v="5"/>
    <x v="5"/>
    <x v="2"/>
    <s v="Income Statement"/>
    <n v="-4087.53"/>
  </r>
  <r>
    <s v="TRX-1274"/>
    <s v="2024-09-18"/>
    <x v="5"/>
    <x v="5"/>
    <x v="2"/>
    <s v="Income Statement"/>
    <n v="-4852.57"/>
  </r>
  <r>
    <s v="TRX-1282"/>
    <s v="2024-06-27"/>
    <x v="5"/>
    <x v="5"/>
    <x v="2"/>
    <s v="Income Statement"/>
    <n v="-1108.46"/>
  </r>
  <r>
    <s v="TRX-1290"/>
    <s v="2024-08-06"/>
    <x v="5"/>
    <x v="5"/>
    <x v="2"/>
    <s v="Income Statement"/>
    <n v="-2989.48"/>
  </r>
  <r>
    <s v="TRX-1291"/>
    <s v="2024-01-02"/>
    <x v="5"/>
    <x v="5"/>
    <x v="2"/>
    <s v="Income Statement"/>
    <n v="-1299.52"/>
  </r>
  <r>
    <s v="TRX-1297"/>
    <s v="2024-03-25"/>
    <x v="5"/>
    <x v="5"/>
    <x v="2"/>
    <s v="Income Statement"/>
    <n v="-1521.97"/>
  </r>
  <r>
    <s v="TRX-1299"/>
    <s v="2024-07-20"/>
    <x v="5"/>
    <x v="5"/>
    <x v="2"/>
    <s v="Income Statement"/>
    <n v="-4998.17"/>
  </r>
  <r>
    <s v="TRX-1305"/>
    <s v="2024-10-20"/>
    <x v="5"/>
    <x v="5"/>
    <x v="2"/>
    <s v="Income Statement"/>
    <n v="-3622.7"/>
  </r>
  <r>
    <s v="TRX-1308"/>
    <s v="2024-03-21"/>
    <x v="5"/>
    <x v="5"/>
    <x v="2"/>
    <s v="Income Statement"/>
    <n v="-1171.55"/>
  </r>
  <r>
    <s v="TRX-1309"/>
    <s v="2024-11-12"/>
    <x v="5"/>
    <x v="5"/>
    <x v="2"/>
    <s v="Income Statement"/>
    <n v="-3880.83"/>
  </r>
  <r>
    <s v="TRX-1310"/>
    <s v="2024-02-12"/>
    <x v="5"/>
    <x v="5"/>
    <x v="2"/>
    <s v="Income Statement"/>
    <n v="-2727.93"/>
  </r>
  <r>
    <s v="TRX-1316"/>
    <s v="2024-04-30"/>
    <x v="5"/>
    <x v="5"/>
    <x v="2"/>
    <s v="Income Statement"/>
    <n v="-1904.55"/>
  </r>
  <r>
    <s v="TRX-1317"/>
    <s v="2024-02-04"/>
    <x v="5"/>
    <x v="5"/>
    <x v="2"/>
    <s v="Income Statement"/>
    <n v="-2346.87"/>
  </r>
  <r>
    <s v="TRX-1327"/>
    <s v="2024-01-12"/>
    <x v="5"/>
    <x v="5"/>
    <x v="2"/>
    <s v="Income Statement"/>
    <n v="-1845.99"/>
  </r>
  <r>
    <s v="TRX-1330"/>
    <s v="2024-03-01"/>
    <x v="5"/>
    <x v="5"/>
    <x v="2"/>
    <s v="Income Statement"/>
    <n v="-4110.47"/>
  </r>
  <r>
    <s v="TRX-1338"/>
    <s v="2024-11-04"/>
    <x v="5"/>
    <x v="5"/>
    <x v="2"/>
    <s v="Income Statement"/>
    <n v="-2232.8000000000002"/>
  </r>
  <r>
    <s v="TRX-1339"/>
    <s v="2024-11-27"/>
    <x v="5"/>
    <x v="5"/>
    <x v="2"/>
    <s v="Income Statement"/>
    <n v="-2310.2600000000002"/>
  </r>
  <r>
    <s v="TRX-1345"/>
    <s v="2024-03-02"/>
    <x v="5"/>
    <x v="5"/>
    <x v="2"/>
    <s v="Income Statement"/>
    <n v="-2612.08"/>
  </r>
  <r>
    <s v="TRX-1347"/>
    <s v="2024-09-18"/>
    <x v="5"/>
    <x v="5"/>
    <x v="2"/>
    <s v="Income Statement"/>
    <n v="-2105.02"/>
  </r>
  <r>
    <s v="TRX-1349"/>
    <s v="2024-10-15"/>
    <x v="5"/>
    <x v="5"/>
    <x v="2"/>
    <s v="Income Statement"/>
    <n v="-2517.0300000000002"/>
  </r>
  <r>
    <s v="TRX-1355"/>
    <s v="2024-03-26"/>
    <x v="5"/>
    <x v="5"/>
    <x v="2"/>
    <s v="Income Statement"/>
    <n v="-2025.34"/>
  </r>
  <r>
    <s v="TRX-1358"/>
    <s v="2024-12-25"/>
    <x v="5"/>
    <x v="5"/>
    <x v="2"/>
    <s v="Income Statement"/>
    <n v="-1286.68"/>
  </r>
  <r>
    <s v="TRX-1360"/>
    <s v="2024-08-14"/>
    <x v="5"/>
    <x v="5"/>
    <x v="2"/>
    <s v="Income Statement"/>
    <n v="-1408.29"/>
  </r>
  <r>
    <s v="TRX-1377"/>
    <s v="2024-10-05"/>
    <x v="5"/>
    <x v="5"/>
    <x v="2"/>
    <s v="Income Statement"/>
    <n v="-3723.68"/>
  </r>
  <r>
    <s v="TRX-1379"/>
    <s v="2024-04-04"/>
    <x v="5"/>
    <x v="5"/>
    <x v="2"/>
    <s v="Income Statement"/>
    <n v="-3016.59"/>
  </r>
  <r>
    <s v="TRX-1381"/>
    <s v="2024-07-25"/>
    <x v="5"/>
    <x v="5"/>
    <x v="2"/>
    <s v="Income Statement"/>
    <n v="-4690.66"/>
  </r>
  <r>
    <s v="TRX-1383"/>
    <s v="2024-03-10"/>
    <x v="5"/>
    <x v="5"/>
    <x v="2"/>
    <s v="Income Statement"/>
    <n v="-1425.8"/>
  </r>
  <r>
    <s v="TRX-1384"/>
    <s v="2024-02-22"/>
    <x v="5"/>
    <x v="5"/>
    <x v="2"/>
    <s v="Income Statement"/>
    <n v="-1050.81"/>
  </r>
  <r>
    <s v="TRX-1385"/>
    <s v="2024-05-04"/>
    <x v="5"/>
    <x v="5"/>
    <x v="2"/>
    <s v="Income Statement"/>
    <n v="-1709.5"/>
  </r>
  <r>
    <s v="TRX-1387"/>
    <s v="2024-11-10"/>
    <x v="5"/>
    <x v="5"/>
    <x v="2"/>
    <s v="Income Statement"/>
    <n v="-4509.46"/>
  </r>
  <r>
    <s v="TRX-1393"/>
    <s v="2024-07-17"/>
    <x v="5"/>
    <x v="5"/>
    <x v="2"/>
    <s v="Income Statement"/>
    <n v="-4295.7"/>
  </r>
  <r>
    <s v="TRX-1395"/>
    <s v="2024-09-22"/>
    <x v="5"/>
    <x v="5"/>
    <x v="2"/>
    <s v="Income Statement"/>
    <n v="-1078.28"/>
  </r>
  <r>
    <s v="TRX-1396"/>
    <s v="2024-11-13"/>
    <x v="5"/>
    <x v="5"/>
    <x v="2"/>
    <s v="Income Statement"/>
    <n v="-4125.57"/>
  </r>
  <r>
    <s v="TRX-1398"/>
    <s v="2024-05-22"/>
    <x v="5"/>
    <x v="5"/>
    <x v="2"/>
    <s v="Income Statement"/>
    <n v="-1484.3"/>
  </r>
  <r>
    <s v="TRX-1404"/>
    <s v="2024-01-28"/>
    <x v="5"/>
    <x v="5"/>
    <x v="2"/>
    <s v="Income Statement"/>
    <n v="-1813.26"/>
  </r>
  <r>
    <s v="TRX-1408"/>
    <s v="2024-12-09"/>
    <x v="5"/>
    <x v="5"/>
    <x v="2"/>
    <s v="Income Statement"/>
    <n v="-3174.98"/>
  </r>
  <r>
    <s v="TRX-1411"/>
    <s v="2024-05-12"/>
    <x v="5"/>
    <x v="5"/>
    <x v="2"/>
    <s v="Income Statement"/>
    <n v="-2544.21"/>
  </r>
  <r>
    <s v="TRX-1443"/>
    <s v="2024-10-09"/>
    <x v="5"/>
    <x v="5"/>
    <x v="2"/>
    <s v="Income Statement"/>
    <n v="-3417.48"/>
  </r>
  <r>
    <s v="TRX-1445"/>
    <s v="2024-09-22"/>
    <x v="5"/>
    <x v="5"/>
    <x v="2"/>
    <s v="Income Statement"/>
    <n v="-2171.61"/>
  </r>
  <r>
    <s v="TRX-1446"/>
    <s v="2024-05-20"/>
    <x v="5"/>
    <x v="5"/>
    <x v="2"/>
    <s v="Income Statement"/>
    <n v="-1121.81"/>
  </r>
  <r>
    <s v="TRX-1447"/>
    <s v="2024-11-12"/>
    <x v="5"/>
    <x v="5"/>
    <x v="2"/>
    <s v="Income Statement"/>
    <n v="-4020.32"/>
  </r>
  <r>
    <s v="TRX-1450"/>
    <s v="2024-11-30"/>
    <x v="5"/>
    <x v="5"/>
    <x v="2"/>
    <s v="Income Statement"/>
    <n v="-1726.37"/>
  </r>
  <r>
    <s v="TRX-1453"/>
    <s v="2024-12-10"/>
    <x v="5"/>
    <x v="5"/>
    <x v="2"/>
    <s v="Income Statement"/>
    <n v="-1084.79"/>
  </r>
  <r>
    <s v="TRX-1456"/>
    <s v="2024-01-10"/>
    <x v="5"/>
    <x v="5"/>
    <x v="2"/>
    <s v="Income Statement"/>
    <n v="-3401.86"/>
  </r>
  <r>
    <s v="TRX-1457"/>
    <s v="2024-12-06"/>
    <x v="5"/>
    <x v="5"/>
    <x v="2"/>
    <s v="Income Statement"/>
    <n v="-1002.52"/>
  </r>
  <r>
    <s v="TRX-1463"/>
    <s v="2024-10-14"/>
    <x v="5"/>
    <x v="5"/>
    <x v="2"/>
    <s v="Income Statement"/>
    <n v="-3505.82"/>
  </r>
  <r>
    <s v="TRX-1465"/>
    <s v="2024-04-02"/>
    <x v="5"/>
    <x v="5"/>
    <x v="2"/>
    <s v="Income Statement"/>
    <n v="-1268.2"/>
  </r>
  <r>
    <s v="TRX-1469"/>
    <s v="2024-10-20"/>
    <x v="5"/>
    <x v="5"/>
    <x v="2"/>
    <s v="Income Statement"/>
    <n v="-2983.25"/>
  </r>
  <r>
    <s v="TRX-1470"/>
    <s v="2024-01-22"/>
    <x v="5"/>
    <x v="5"/>
    <x v="2"/>
    <s v="Income Statement"/>
    <n v="-3689.18"/>
  </r>
  <r>
    <s v="TRX-1476"/>
    <s v="2024-02-19"/>
    <x v="5"/>
    <x v="5"/>
    <x v="2"/>
    <s v="Income Statement"/>
    <n v="-2997.3"/>
  </r>
  <r>
    <s v="TRX-1488"/>
    <s v="2024-10-20"/>
    <x v="5"/>
    <x v="5"/>
    <x v="2"/>
    <s v="Income Statement"/>
    <n v="-3697.75"/>
  </r>
  <r>
    <s v="TRX-1490"/>
    <s v="2024-05-26"/>
    <x v="5"/>
    <x v="5"/>
    <x v="2"/>
    <s v="Income Statement"/>
    <n v="-2412.5700000000002"/>
  </r>
  <r>
    <s v="TRX-1491"/>
    <s v="2024-08-08"/>
    <x v="5"/>
    <x v="5"/>
    <x v="2"/>
    <s v="Income Statement"/>
    <n v="-3933.24"/>
  </r>
  <r>
    <s v="TRX-1498"/>
    <s v="2024-10-28"/>
    <x v="5"/>
    <x v="5"/>
    <x v="2"/>
    <s v="Income Statement"/>
    <n v="-1647.23"/>
  </r>
  <r>
    <s v="TRX-1002"/>
    <s v="2024-10-19"/>
    <x v="6"/>
    <x v="6"/>
    <x v="3"/>
    <s v="Balance Sheet"/>
    <n v="147.66999999999999"/>
  </r>
  <r>
    <s v="TRX-1005"/>
    <s v="2024-02-21"/>
    <x v="6"/>
    <x v="6"/>
    <x v="3"/>
    <s v="Balance Sheet"/>
    <n v="509.4"/>
  </r>
  <r>
    <s v="TRX-1007"/>
    <s v="2024-04-02"/>
    <x v="6"/>
    <x v="6"/>
    <x v="3"/>
    <s v="Balance Sheet"/>
    <n v="862.15"/>
  </r>
  <r>
    <s v="TRX-1008"/>
    <s v="2024-10-14"/>
    <x v="6"/>
    <x v="6"/>
    <x v="3"/>
    <s v="Balance Sheet"/>
    <n v="-241.88"/>
  </r>
  <r>
    <s v="TRX-1009"/>
    <s v="2024-02-01"/>
    <x v="6"/>
    <x v="6"/>
    <x v="3"/>
    <s v="Balance Sheet"/>
    <n v="-946.96"/>
  </r>
  <r>
    <s v="TRX-1011"/>
    <s v="2024-06-01"/>
    <x v="6"/>
    <x v="6"/>
    <x v="3"/>
    <s v="Balance Sheet"/>
    <n v="-799.86"/>
  </r>
  <r>
    <s v="TRX-1012"/>
    <s v="2024-07-01"/>
    <x v="6"/>
    <x v="6"/>
    <x v="3"/>
    <s v="Balance Sheet"/>
    <n v="208.82"/>
  </r>
  <r>
    <s v="TRX-1013"/>
    <s v="2024-01-14"/>
    <x v="6"/>
    <x v="6"/>
    <x v="3"/>
    <s v="Balance Sheet"/>
    <n v="-587.34"/>
  </r>
  <r>
    <s v="TRX-1014"/>
    <s v="2024-12-17"/>
    <x v="6"/>
    <x v="6"/>
    <x v="3"/>
    <s v="Balance Sheet"/>
    <n v="-857.67"/>
  </r>
  <r>
    <s v="TRX-1015"/>
    <s v="2024-02-15"/>
    <x v="6"/>
    <x v="6"/>
    <x v="3"/>
    <s v="Balance Sheet"/>
    <n v="900.09"/>
  </r>
  <r>
    <s v="TRX-1017"/>
    <s v="2024-09-05"/>
    <x v="6"/>
    <x v="6"/>
    <x v="3"/>
    <s v="Balance Sheet"/>
    <n v="996.89"/>
  </r>
  <r>
    <s v="TRX-1018"/>
    <s v="2024-01-30"/>
    <x v="6"/>
    <x v="6"/>
    <x v="3"/>
    <s v="Balance Sheet"/>
    <n v="689.3"/>
  </r>
  <r>
    <s v="TRX-1019"/>
    <s v="2024-10-03"/>
    <x v="6"/>
    <x v="6"/>
    <x v="3"/>
    <s v="Balance Sheet"/>
    <n v="513.66999999999996"/>
  </r>
  <r>
    <s v="TRX-1020"/>
    <s v="2024-09-18"/>
    <x v="6"/>
    <x v="6"/>
    <x v="3"/>
    <s v="Balance Sheet"/>
    <n v="-325.8"/>
  </r>
  <r>
    <s v="TRX-1024"/>
    <s v="2024-06-28"/>
    <x v="6"/>
    <x v="6"/>
    <x v="3"/>
    <s v="Balance Sheet"/>
    <n v="574.17999999999995"/>
  </r>
  <r>
    <s v="TRX-1025"/>
    <s v="2024-12-06"/>
    <x v="6"/>
    <x v="6"/>
    <x v="3"/>
    <s v="Balance Sheet"/>
    <n v="806.72"/>
  </r>
  <r>
    <s v="TRX-1030"/>
    <s v="2024-08-07"/>
    <x v="6"/>
    <x v="6"/>
    <x v="3"/>
    <s v="Balance Sheet"/>
    <n v="-662.24"/>
  </r>
  <r>
    <s v="TRX-1034"/>
    <s v="2024-07-22"/>
    <x v="6"/>
    <x v="6"/>
    <x v="3"/>
    <s v="Balance Sheet"/>
    <n v="-157.06"/>
  </r>
  <r>
    <s v="TRX-1035"/>
    <s v="2024-02-27"/>
    <x v="6"/>
    <x v="6"/>
    <x v="3"/>
    <s v="Balance Sheet"/>
    <n v="645.87"/>
  </r>
  <r>
    <s v="TRX-1039"/>
    <s v="2024-09-18"/>
    <x v="6"/>
    <x v="6"/>
    <x v="3"/>
    <s v="Balance Sheet"/>
    <n v="-838.77"/>
  </r>
  <r>
    <s v="TRX-1045"/>
    <s v="2024-12-03"/>
    <x v="6"/>
    <x v="6"/>
    <x v="3"/>
    <s v="Balance Sheet"/>
    <n v="-114.89"/>
  </r>
  <r>
    <s v="TRX-1052"/>
    <s v="2024-08-14"/>
    <x v="6"/>
    <x v="6"/>
    <x v="3"/>
    <s v="Balance Sheet"/>
    <n v="143.04"/>
  </r>
  <r>
    <s v="TRX-1055"/>
    <s v="2024-04-22"/>
    <x v="6"/>
    <x v="6"/>
    <x v="3"/>
    <s v="Balance Sheet"/>
    <n v="-752.05"/>
  </r>
  <r>
    <s v="TRX-1056"/>
    <s v="2024-10-22"/>
    <x v="6"/>
    <x v="6"/>
    <x v="3"/>
    <s v="Balance Sheet"/>
    <n v="-976.4"/>
  </r>
  <r>
    <s v="TRX-1057"/>
    <s v="2024-01-29"/>
    <x v="6"/>
    <x v="6"/>
    <x v="3"/>
    <s v="Balance Sheet"/>
    <n v="590.46"/>
  </r>
  <r>
    <s v="TRX-1061"/>
    <s v="2024-06-03"/>
    <x v="6"/>
    <x v="6"/>
    <x v="3"/>
    <s v="Balance Sheet"/>
    <n v="990.05"/>
  </r>
  <r>
    <s v="TRX-1071"/>
    <s v="2024-09-20"/>
    <x v="6"/>
    <x v="6"/>
    <x v="3"/>
    <s v="Balance Sheet"/>
    <n v="-232.89"/>
  </r>
  <r>
    <s v="TRX-1080"/>
    <s v="2024-08-01"/>
    <x v="6"/>
    <x v="6"/>
    <x v="3"/>
    <s v="Balance Sheet"/>
    <n v="-524.5"/>
  </r>
  <r>
    <s v="TRX-1081"/>
    <s v="2024-12-02"/>
    <x v="6"/>
    <x v="6"/>
    <x v="3"/>
    <s v="Balance Sheet"/>
    <n v="481.87"/>
  </r>
  <r>
    <s v="TRX-1082"/>
    <s v="2024-05-04"/>
    <x v="6"/>
    <x v="6"/>
    <x v="3"/>
    <s v="Balance Sheet"/>
    <n v="737.81"/>
  </r>
  <r>
    <s v="TRX-1083"/>
    <s v="2024-12-27"/>
    <x v="6"/>
    <x v="6"/>
    <x v="3"/>
    <s v="Balance Sheet"/>
    <n v="686.88"/>
  </r>
  <r>
    <s v="TRX-1085"/>
    <s v="2024-11-16"/>
    <x v="6"/>
    <x v="6"/>
    <x v="3"/>
    <s v="Balance Sheet"/>
    <n v="-393.72"/>
  </r>
  <r>
    <s v="TRX-1087"/>
    <s v="2024-07-12"/>
    <x v="6"/>
    <x v="6"/>
    <x v="3"/>
    <s v="Balance Sheet"/>
    <n v="887.98"/>
  </r>
  <r>
    <s v="TRX-1088"/>
    <s v="2024-12-09"/>
    <x v="6"/>
    <x v="6"/>
    <x v="3"/>
    <s v="Balance Sheet"/>
    <n v="-752.95"/>
  </r>
  <r>
    <s v="TRX-1091"/>
    <s v="2024-09-30"/>
    <x v="6"/>
    <x v="6"/>
    <x v="3"/>
    <s v="Balance Sheet"/>
    <n v="-546.30999999999995"/>
  </r>
  <r>
    <s v="TRX-1092"/>
    <s v="2024-08-02"/>
    <x v="6"/>
    <x v="6"/>
    <x v="3"/>
    <s v="Balance Sheet"/>
    <n v="945.22"/>
  </r>
  <r>
    <s v="TRX-1103"/>
    <s v="2024-11-18"/>
    <x v="6"/>
    <x v="6"/>
    <x v="3"/>
    <s v="Balance Sheet"/>
    <n v="-498.69"/>
  </r>
  <r>
    <s v="TRX-1106"/>
    <s v="2024-12-05"/>
    <x v="6"/>
    <x v="6"/>
    <x v="3"/>
    <s v="Balance Sheet"/>
    <n v="-233.11"/>
  </r>
  <r>
    <s v="TRX-1112"/>
    <s v="2024-06-16"/>
    <x v="6"/>
    <x v="6"/>
    <x v="3"/>
    <s v="Balance Sheet"/>
    <n v="-755.69"/>
  </r>
  <r>
    <s v="TRX-1118"/>
    <s v="2024-11-04"/>
    <x v="6"/>
    <x v="6"/>
    <x v="3"/>
    <s v="Balance Sheet"/>
    <n v="-355.5"/>
  </r>
  <r>
    <s v="TRX-1119"/>
    <s v="2024-02-03"/>
    <x v="6"/>
    <x v="6"/>
    <x v="3"/>
    <s v="Balance Sheet"/>
    <n v="196.06"/>
  </r>
  <r>
    <s v="TRX-1121"/>
    <s v="2024-09-20"/>
    <x v="6"/>
    <x v="6"/>
    <x v="3"/>
    <s v="Balance Sheet"/>
    <n v="-599.82000000000005"/>
  </r>
  <r>
    <s v="TRX-1123"/>
    <s v="2024-07-12"/>
    <x v="6"/>
    <x v="6"/>
    <x v="3"/>
    <s v="Balance Sheet"/>
    <n v="-999.33"/>
  </r>
  <r>
    <s v="TRX-1124"/>
    <s v="2024-10-06"/>
    <x v="6"/>
    <x v="6"/>
    <x v="3"/>
    <s v="Balance Sheet"/>
    <n v="-153.32"/>
  </r>
  <r>
    <s v="TRX-1128"/>
    <s v="2024-04-09"/>
    <x v="6"/>
    <x v="6"/>
    <x v="3"/>
    <s v="Balance Sheet"/>
    <n v="199.57"/>
  </r>
  <r>
    <s v="TRX-1131"/>
    <s v="2024-08-13"/>
    <x v="6"/>
    <x v="6"/>
    <x v="3"/>
    <s v="Balance Sheet"/>
    <n v="-437.59"/>
  </r>
  <r>
    <s v="TRX-1133"/>
    <s v="2024-06-09"/>
    <x v="6"/>
    <x v="6"/>
    <x v="3"/>
    <s v="Balance Sheet"/>
    <n v="-494.95"/>
  </r>
  <r>
    <s v="TRX-1136"/>
    <s v="2024-05-02"/>
    <x v="6"/>
    <x v="6"/>
    <x v="3"/>
    <s v="Balance Sheet"/>
    <n v="-215.37"/>
  </r>
  <r>
    <s v="TRX-1137"/>
    <s v="2024-06-20"/>
    <x v="6"/>
    <x v="6"/>
    <x v="3"/>
    <s v="Balance Sheet"/>
    <n v="949.45"/>
  </r>
  <r>
    <s v="TRX-1138"/>
    <s v="2024-12-09"/>
    <x v="6"/>
    <x v="6"/>
    <x v="3"/>
    <s v="Balance Sheet"/>
    <n v="806.47"/>
  </r>
  <r>
    <s v="TRX-1141"/>
    <s v="2024-07-15"/>
    <x v="6"/>
    <x v="6"/>
    <x v="3"/>
    <s v="Balance Sheet"/>
    <n v="-958.57"/>
  </r>
  <r>
    <s v="TRX-1142"/>
    <s v="2024-11-04"/>
    <x v="6"/>
    <x v="6"/>
    <x v="3"/>
    <s v="Balance Sheet"/>
    <n v="593"/>
  </r>
  <r>
    <s v="TRX-1146"/>
    <s v="2024-07-04"/>
    <x v="6"/>
    <x v="6"/>
    <x v="3"/>
    <s v="Balance Sheet"/>
    <n v="533.33000000000004"/>
  </r>
  <r>
    <s v="TRX-1148"/>
    <s v="2024-02-12"/>
    <x v="6"/>
    <x v="6"/>
    <x v="3"/>
    <s v="Balance Sheet"/>
    <n v="-473.69"/>
  </r>
  <r>
    <s v="TRX-1152"/>
    <s v="2024-12-31"/>
    <x v="6"/>
    <x v="6"/>
    <x v="3"/>
    <s v="Balance Sheet"/>
    <n v="-560.44000000000005"/>
  </r>
  <r>
    <s v="TRX-1153"/>
    <s v="2024-01-24"/>
    <x v="6"/>
    <x v="6"/>
    <x v="3"/>
    <s v="Balance Sheet"/>
    <n v="-725.34"/>
  </r>
  <r>
    <s v="TRX-1156"/>
    <s v="2024-05-11"/>
    <x v="6"/>
    <x v="6"/>
    <x v="3"/>
    <s v="Balance Sheet"/>
    <n v="-439.98"/>
  </r>
  <r>
    <s v="TRX-1162"/>
    <s v="2024-02-22"/>
    <x v="6"/>
    <x v="6"/>
    <x v="3"/>
    <s v="Balance Sheet"/>
    <n v="-315.81"/>
  </r>
  <r>
    <s v="TRX-1165"/>
    <s v="2024-03-28"/>
    <x v="6"/>
    <x v="6"/>
    <x v="3"/>
    <s v="Balance Sheet"/>
    <n v="-125.63"/>
  </r>
  <r>
    <s v="TRX-1167"/>
    <s v="2024-11-05"/>
    <x v="6"/>
    <x v="6"/>
    <x v="3"/>
    <s v="Balance Sheet"/>
    <n v="-591.89"/>
  </r>
  <r>
    <s v="TRX-1168"/>
    <s v="2024-01-25"/>
    <x v="6"/>
    <x v="6"/>
    <x v="3"/>
    <s v="Balance Sheet"/>
    <n v="973.19"/>
  </r>
  <r>
    <s v="TRX-1170"/>
    <s v="2024-01-09"/>
    <x v="6"/>
    <x v="6"/>
    <x v="3"/>
    <s v="Balance Sheet"/>
    <n v="-385.71"/>
  </r>
  <r>
    <s v="TRX-1171"/>
    <s v="2024-02-13"/>
    <x v="6"/>
    <x v="6"/>
    <x v="3"/>
    <s v="Balance Sheet"/>
    <n v="-142.38"/>
  </r>
  <r>
    <s v="TRX-1177"/>
    <s v="2024-01-25"/>
    <x v="6"/>
    <x v="6"/>
    <x v="3"/>
    <s v="Balance Sheet"/>
    <n v="-901.62"/>
  </r>
  <r>
    <s v="TRX-1178"/>
    <s v="2024-12-23"/>
    <x v="6"/>
    <x v="6"/>
    <x v="3"/>
    <s v="Balance Sheet"/>
    <n v="-798.21"/>
  </r>
  <r>
    <s v="TRX-1179"/>
    <s v="2024-08-24"/>
    <x v="6"/>
    <x v="6"/>
    <x v="3"/>
    <s v="Balance Sheet"/>
    <n v="-534.30999999999995"/>
  </r>
  <r>
    <s v="TRX-1181"/>
    <s v="2024-08-12"/>
    <x v="6"/>
    <x v="6"/>
    <x v="3"/>
    <s v="Balance Sheet"/>
    <n v="533.78"/>
  </r>
  <r>
    <s v="TRX-1184"/>
    <s v="2024-05-30"/>
    <x v="6"/>
    <x v="6"/>
    <x v="3"/>
    <s v="Balance Sheet"/>
    <n v="-286.58999999999997"/>
  </r>
  <r>
    <s v="TRX-1188"/>
    <s v="2024-01-12"/>
    <x v="6"/>
    <x v="6"/>
    <x v="3"/>
    <s v="Balance Sheet"/>
    <n v="966.68"/>
  </r>
  <r>
    <s v="TRX-1190"/>
    <s v="2024-06-21"/>
    <x v="6"/>
    <x v="6"/>
    <x v="3"/>
    <s v="Balance Sheet"/>
    <n v="-785.96"/>
  </r>
  <r>
    <s v="TRX-1191"/>
    <s v="2024-12-18"/>
    <x v="6"/>
    <x v="6"/>
    <x v="3"/>
    <s v="Balance Sheet"/>
    <n v="530.64"/>
  </r>
  <r>
    <s v="TRX-1192"/>
    <s v="2024-11-07"/>
    <x v="6"/>
    <x v="6"/>
    <x v="3"/>
    <s v="Balance Sheet"/>
    <n v="-720.9"/>
  </r>
  <r>
    <s v="TRX-1195"/>
    <s v="2024-11-11"/>
    <x v="6"/>
    <x v="6"/>
    <x v="3"/>
    <s v="Balance Sheet"/>
    <n v="440.06"/>
  </r>
  <r>
    <s v="TRX-1197"/>
    <s v="2024-03-26"/>
    <x v="6"/>
    <x v="6"/>
    <x v="3"/>
    <s v="Balance Sheet"/>
    <n v="-265.64999999999998"/>
  </r>
  <r>
    <s v="TRX-1199"/>
    <s v="2024-08-14"/>
    <x v="6"/>
    <x v="6"/>
    <x v="3"/>
    <s v="Balance Sheet"/>
    <n v="-920.5"/>
  </r>
  <r>
    <s v="TRX-1200"/>
    <s v="2024-03-10"/>
    <x v="6"/>
    <x v="6"/>
    <x v="3"/>
    <s v="Balance Sheet"/>
    <n v="-338.48"/>
  </r>
  <r>
    <s v="TRX-1202"/>
    <s v="2024-06-23"/>
    <x v="6"/>
    <x v="6"/>
    <x v="3"/>
    <s v="Balance Sheet"/>
    <n v="-669.33"/>
  </r>
  <r>
    <s v="TRX-1203"/>
    <s v="2024-03-03"/>
    <x v="6"/>
    <x v="6"/>
    <x v="3"/>
    <s v="Balance Sheet"/>
    <n v="242.36"/>
  </r>
  <r>
    <s v="TRX-1204"/>
    <s v="2024-04-07"/>
    <x v="6"/>
    <x v="6"/>
    <x v="3"/>
    <s v="Balance Sheet"/>
    <n v="-823.98"/>
  </r>
  <r>
    <s v="TRX-1207"/>
    <s v="2024-01-01"/>
    <x v="6"/>
    <x v="6"/>
    <x v="3"/>
    <s v="Balance Sheet"/>
    <n v="285.76"/>
  </r>
  <r>
    <s v="TRX-1208"/>
    <s v="2024-09-21"/>
    <x v="6"/>
    <x v="6"/>
    <x v="3"/>
    <s v="Balance Sheet"/>
    <n v="-734.82"/>
  </r>
  <r>
    <s v="TRX-1213"/>
    <s v="2024-01-17"/>
    <x v="6"/>
    <x v="6"/>
    <x v="3"/>
    <s v="Balance Sheet"/>
    <n v="-936.97"/>
  </r>
  <r>
    <s v="TRX-1215"/>
    <s v="2024-10-07"/>
    <x v="6"/>
    <x v="6"/>
    <x v="3"/>
    <s v="Balance Sheet"/>
    <n v="193.87"/>
  </r>
  <r>
    <s v="TRX-1217"/>
    <s v="2024-07-31"/>
    <x v="6"/>
    <x v="6"/>
    <x v="3"/>
    <s v="Balance Sheet"/>
    <n v="-718.41"/>
  </r>
  <r>
    <s v="TRX-1220"/>
    <s v="2024-09-10"/>
    <x v="6"/>
    <x v="6"/>
    <x v="3"/>
    <s v="Balance Sheet"/>
    <n v="831.38"/>
  </r>
  <r>
    <s v="TRX-1221"/>
    <s v="2024-08-12"/>
    <x v="6"/>
    <x v="6"/>
    <x v="3"/>
    <s v="Balance Sheet"/>
    <n v="299.12"/>
  </r>
  <r>
    <s v="TRX-1224"/>
    <s v="2024-04-28"/>
    <x v="6"/>
    <x v="6"/>
    <x v="3"/>
    <s v="Balance Sheet"/>
    <n v="-833.47"/>
  </r>
  <r>
    <s v="TRX-1228"/>
    <s v="2024-03-03"/>
    <x v="6"/>
    <x v="6"/>
    <x v="3"/>
    <s v="Balance Sheet"/>
    <n v="-390.71"/>
  </r>
  <r>
    <s v="TRX-1230"/>
    <s v="2024-02-04"/>
    <x v="6"/>
    <x v="6"/>
    <x v="3"/>
    <s v="Balance Sheet"/>
    <n v="-433.65"/>
  </r>
  <r>
    <s v="TRX-1231"/>
    <s v="2024-10-04"/>
    <x v="6"/>
    <x v="6"/>
    <x v="3"/>
    <s v="Balance Sheet"/>
    <n v="-126.51"/>
  </r>
  <r>
    <s v="TRX-1232"/>
    <s v="2024-04-05"/>
    <x v="6"/>
    <x v="6"/>
    <x v="3"/>
    <s v="Balance Sheet"/>
    <n v="610.33000000000004"/>
  </r>
  <r>
    <s v="TRX-1233"/>
    <s v="2024-02-05"/>
    <x v="6"/>
    <x v="6"/>
    <x v="3"/>
    <s v="Balance Sheet"/>
    <n v="-844.44"/>
  </r>
  <r>
    <s v="TRX-1240"/>
    <s v="2024-11-16"/>
    <x v="6"/>
    <x v="6"/>
    <x v="3"/>
    <s v="Balance Sheet"/>
    <n v="942.6"/>
  </r>
  <r>
    <s v="TRX-1241"/>
    <s v="2024-10-27"/>
    <x v="6"/>
    <x v="6"/>
    <x v="3"/>
    <s v="Balance Sheet"/>
    <n v="930.28"/>
  </r>
  <r>
    <s v="TRX-1242"/>
    <s v="2024-10-25"/>
    <x v="6"/>
    <x v="6"/>
    <x v="3"/>
    <s v="Balance Sheet"/>
    <n v="-924.94"/>
  </r>
  <r>
    <s v="TRX-1243"/>
    <s v="2024-06-19"/>
    <x v="6"/>
    <x v="6"/>
    <x v="3"/>
    <s v="Balance Sheet"/>
    <n v="214.02"/>
  </r>
  <r>
    <s v="TRX-1248"/>
    <s v="2024-12-10"/>
    <x v="6"/>
    <x v="6"/>
    <x v="3"/>
    <s v="Balance Sheet"/>
    <n v="-340.69"/>
  </r>
  <r>
    <s v="TRX-1249"/>
    <s v="2024-07-25"/>
    <x v="6"/>
    <x v="6"/>
    <x v="3"/>
    <s v="Balance Sheet"/>
    <n v="-179.16"/>
  </r>
  <r>
    <s v="TRX-1251"/>
    <s v="2024-08-01"/>
    <x v="6"/>
    <x v="6"/>
    <x v="3"/>
    <s v="Balance Sheet"/>
    <n v="-136.91999999999999"/>
  </r>
  <r>
    <s v="TRX-1254"/>
    <s v="2024-08-29"/>
    <x v="6"/>
    <x v="6"/>
    <x v="3"/>
    <s v="Balance Sheet"/>
    <n v="-728.91"/>
  </r>
  <r>
    <s v="TRX-1256"/>
    <s v="2024-10-13"/>
    <x v="6"/>
    <x v="6"/>
    <x v="3"/>
    <s v="Balance Sheet"/>
    <n v="-413.24"/>
  </r>
  <r>
    <s v="TRX-1263"/>
    <s v="2024-10-09"/>
    <x v="6"/>
    <x v="6"/>
    <x v="3"/>
    <s v="Balance Sheet"/>
    <n v="-307.74"/>
  </r>
  <r>
    <s v="TRX-1264"/>
    <s v="2024-11-11"/>
    <x v="6"/>
    <x v="6"/>
    <x v="3"/>
    <s v="Balance Sheet"/>
    <n v="-719.7"/>
  </r>
  <r>
    <s v="TRX-1267"/>
    <s v="2024-02-18"/>
    <x v="6"/>
    <x v="6"/>
    <x v="3"/>
    <s v="Balance Sheet"/>
    <n v="-277.57"/>
  </r>
  <r>
    <s v="TRX-1268"/>
    <s v="2024-09-22"/>
    <x v="6"/>
    <x v="6"/>
    <x v="3"/>
    <s v="Balance Sheet"/>
    <n v="506.47"/>
  </r>
  <r>
    <s v="TRX-1269"/>
    <s v="2024-05-31"/>
    <x v="6"/>
    <x v="6"/>
    <x v="3"/>
    <s v="Balance Sheet"/>
    <n v="-815.06"/>
  </r>
  <r>
    <s v="TRX-1272"/>
    <s v="2024-02-20"/>
    <x v="6"/>
    <x v="6"/>
    <x v="3"/>
    <s v="Balance Sheet"/>
    <n v="131.4"/>
  </r>
  <r>
    <s v="TRX-1275"/>
    <s v="2024-03-13"/>
    <x v="6"/>
    <x v="6"/>
    <x v="3"/>
    <s v="Balance Sheet"/>
    <n v="-844.51"/>
  </r>
  <r>
    <s v="TRX-1276"/>
    <s v="2024-07-11"/>
    <x v="6"/>
    <x v="6"/>
    <x v="3"/>
    <s v="Balance Sheet"/>
    <n v="-451.28"/>
  </r>
  <r>
    <s v="TRX-1277"/>
    <s v="2024-06-19"/>
    <x v="6"/>
    <x v="6"/>
    <x v="3"/>
    <s v="Balance Sheet"/>
    <n v="346.43"/>
  </r>
  <r>
    <s v="TRX-1284"/>
    <s v="2024-02-05"/>
    <x v="6"/>
    <x v="6"/>
    <x v="3"/>
    <s v="Balance Sheet"/>
    <n v="290.8"/>
  </r>
  <r>
    <s v="TRX-1285"/>
    <s v="2024-09-30"/>
    <x v="6"/>
    <x v="6"/>
    <x v="3"/>
    <s v="Balance Sheet"/>
    <n v="-654.51"/>
  </r>
  <r>
    <s v="TRX-1287"/>
    <s v="2024-10-15"/>
    <x v="6"/>
    <x v="6"/>
    <x v="3"/>
    <s v="Balance Sheet"/>
    <n v="708.6"/>
  </r>
  <r>
    <s v="TRX-1293"/>
    <s v="2024-04-26"/>
    <x v="6"/>
    <x v="6"/>
    <x v="3"/>
    <s v="Balance Sheet"/>
    <n v="-648.14"/>
  </r>
  <r>
    <s v="TRX-1294"/>
    <s v="2024-05-22"/>
    <x v="6"/>
    <x v="6"/>
    <x v="3"/>
    <s v="Balance Sheet"/>
    <n v="-298.94"/>
  </r>
  <r>
    <s v="TRX-1296"/>
    <s v="2024-12-21"/>
    <x v="6"/>
    <x v="6"/>
    <x v="3"/>
    <s v="Balance Sheet"/>
    <n v="767.02"/>
  </r>
  <r>
    <s v="TRX-1300"/>
    <s v="2024-03-01"/>
    <x v="6"/>
    <x v="6"/>
    <x v="3"/>
    <s v="Balance Sheet"/>
    <n v="-890.37"/>
  </r>
  <r>
    <s v="TRX-1301"/>
    <s v="2024-05-19"/>
    <x v="6"/>
    <x v="6"/>
    <x v="3"/>
    <s v="Balance Sheet"/>
    <n v="468.48"/>
  </r>
  <r>
    <s v="TRX-1307"/>
    <s v="2024-12-05"/>
    <x v="6"/>
    <x v="6"/>
    <x v="3"/>
    <s v="Balance Sheet"/>
    <n v="362.69"/>
  </r>
  <r>
    <s v="TRX-1312"/>
    <s v="2024-04-19"/>
    <x v="6"/>
    <x v="6"/>
    <x v="3"/>
    <s v="Balance Sheet"/>
    <n v="266.76"/>
  </r>
  <r>
    <s v="TRX-1313"/>
    <s v="2024-03-01"/>
    <x v="6"/>
    <x v="6"/>
    <x v="3"/>
    <s v="Balance Sheet"/>
    <n v="639.79"/>
  </r>
  <r>
    <s v="TRX-1314"/>
    <s v="2024-10-12"/>
    <x v="6"/>
    <x v="6"/>
    <x v="3"/>
    <s v="Balance Sheet"/>
    <n v="373.17"/>
  </r>
  <r>
    <s v="TRX-1315"/>
    <s v="2024-10-20"/>
    <x v="6"/>
    <x v="6"/>
    <x v="3"/>
    <s v="Balance Sheet"/>
    <n v="-239.05"/>
  </r>
  <r>
    <s v="TRX-1318"/>
    <s v="2024-04-15"/>
    <x v="6"/>
    <x v="6"/>
    <x v="3"/>
    <s v="Balance Sheet"/>
    <n v="217.55"/>
  </r>
  <r>
    <s v="TRX-1319"/>
    <s v="2024-07-19"/>
    <x v="6"/>
    <x v="6"/>
    <x v="3"/>
    <s v="Balance Sheet"/>
    <n v="483.43"/>
  </r>
  <r>
    <s v="TRX-1321"/>
    <s v="2024-11-05"/>
    <x v="6"/>
    <x v="6"/>
    <x v="3"/>
    <s v="Balance Sheet"/>
    <n v="-686.13"/>
  </r>
  <r>
    <s v="TRX-1323"/>
    <s v="2024-12-14"/>
    <x v="6"/>
    <x v="6"/>
    <x v="3"/>
    <s v="Balance Sheet"/>
    <n v="-952.91"/>
  </r>
  <r>
    <s v="TRX-1328"/>
    <s v="2024-04-10"/>
    <x v="6"/>
    <x v="6"/>
    <x v="3"/>
    <s v="Balance Sheet"/>
    <n v="-955.99"/>
  </r>
  <r>
    <s v="TRX-1331"/>
    <s v="2024-10-21"/>
    <x v="6"/>
    <x v="6"/>
    <x v="3"/>
    <s v="Balance Sheet"/>
    <n v="744.71"/>
  </r>
  <r>
    <s v="TRX-1336"/>
    <s v="2024-01-17"/>
    <x v="6"/>
    <x v="6"/>
    <x v="3"/>
    <s v="Balance Sheet"/>
    <n v="497.84"/>
  </r>
  <r>
    <s v="TRX-1341"/>
    <s v="2024-05-02"/>
    <x v="6"/>
    <x v="6"/>
    <x v="3"/>
    <s v="Balance Sheet"/>
    <n v="-970.94"/>
  </r>
  <r>
    <s v="TRX-1343"/>
    <s v="2024-03-23"/>
    <x v="6"/>
    <x v="6"/>
    <x v="3"/>
    <s v="Balance Sheet"/>
    <n v="-705.87"/>
  </r>
  <r>
    <s v="TRX-1346"/>
    <s v="2024-09-21"/>
    <x v="6"/>
    <x v="6"/>
    <x v="3"/>
    <s v="Balance Sheet"/>
    <n v="-135.47999999999999"/>
  </r>
  <r>
    <s v="TRX-1350"/>
    <s v="2024-12-06"/>
    <x v="6"/>
    <x v="6"/>
    <x v="3"/>
    <s v="Balance Sheet"/>
    <n v="495.65"/>
  </r>
  <r>
    <s v="TRX-1353"/>
    <s v="2024-04-01"/>
    <x v="6"/>
    <x v="6"/>
    <x v="3"/>
    <s v="Balance Sheet"/>
    <n v="570.53"/>
  </r>
  <r>
    <s v="TRX-1357"/>
    <s v="2024-04-09"/>
    <x v="6"/>
    <x v="6"/>
    <x v="3"/>
    <s v="Balance Sheet"/>
    <n v="883.66"/>
  </r>
  <r>
    <s v="TRX-1359"/>
    <s v="2024-07-10"/>
    <x v="6"/>
    <x v="6"/>
    <x v="3"/>
    <s v="Balance Sheet"/>
    <n v="296.37"/>
  </r>
  <r>
    <s v="TRX-1362"/>
    <s v="2024-06-14"/>
    <x v="6"/>
    <x v="6"/>
    <x v="3"/>
    <s v="Balance Sheet"/>
    <n v="675.25"/>
  </r>
  <r>
    <s v="TRX-1368"/>
    <s v="2024-05-17"/>
    <x v="6"/>
    <x v="6"/>
    <x v="3"/>
    <s v="Balance Sheet"/>
    <n v="-263.58"/>
  </r>
  <r>
    <s v="TRX-1369"/>
    <s v="2024-04-24"/>
    <x v="6"/>
    <x v="6"/>
    <x v="3"/>
    <s v="Balance Sheet"/>
    <n v="562.27"/>
  </r>
  <r>
    <s v="TRX-1370"/>
    <s v="2024-05-24"/>
    <x v="6"/>
    <x v="6"/>
    <x v="3"/>
    <s v="Balance Sheet"/>
    <n v="-882.12"/>
  </r>
  <r>
    <s v="TRX-1371"/>
    <s v="2024-04-16"/>
    <x v="6"/>
    <x v="6"/>
    <x v="3"/>
    <s v="Balance Sheet"/>
    <n v="822.98"/>
  </r>
  <r>
    <s v="TRX-1372"/>
    <s v="2024-09-15"/>
    <x v="6"/>
    <x v="6"/>
    <x v="3"/>
    <s v="Balance Sheet"/>
    <n v="828.72"/>
  </r>
  <r>
    <s v="TRX-1380"/>
    <s v="2024-02-08"/>
    <x v="6"/>
    <x v="6"/>
    <x v="3"/>
    <s v="Balance Sheet"/>
    <n v="-441.66"/>
  </r>
  <r>
    <s v="TRX-1386"/>
    <s v="2024-06-07"/>
    <x v="6"/>
    <x v="6"/>
    <x v="3"/>
    <s v="Balance Sheet"/>
    <n v="-706.56"/>
  </r>
  <r>
    <s v="TRX-1388"/>
    <s v="2024-04-05"/>
    <x v="6"/>
    <x v="6"/>
    <x v="3"/>
    <s v="Balance Sheet"/>
    <n v="215.94"/>
  </r>
  <r>
    <s v="TRX-1394"/>
    <s v="2024-06-02"/>
    <x v="6"/>
    <x v="6"/>
    <x v="3"/>
    <s v="Balance Sheet"/>
    <n v="-879.67"/>
  </r>
  <r>
    <s v="TRX-1397"/>
    <s v="2024-06-08"/>
    <x v="6"/>
    <x v="6"/>
    <x v="3"/>
    <s v="Balance Sheet"/>
    <n v="-124.85"/>
  </r>
  <r>
    <s v="TRX-1400"/>
    <s v="2024-08-17"/>
    <x v="6"/>
    <x v="6"/>
    <x v="3"/>
    <s v="Balance Sheet"/>
    <n v="537"/>
  </r>
  <r>
    <s v="TRX-1405"/>
    <s v="2024-01-08"/>
    <x v="6"/>
    <x v="6"/>
    <x v="3"/>
    <s v="Balance Sheet"/>
    <n v="-897.21"/>
  </r>
  <r>
    <s v="TRX-1406"/>
    <s v="2024-03-17"/>
    <x v="6"/>
    <x v="6"/>
    <x v="3"/>
    <s v="Balance Sheet"/>
    <n v="-249.52"/>
  </r>
  <r>
    <s v="TRX-1410"/>
    <s v="2024-02-29"/>
    <x v="6"/>
    <x v="6"/>
    <x v="3"/>
    <s v="Balance Sheet"/>
    <n v="525.34"/>
  </r>
  <r>
    <s v="TRX-1412"/>
    <s v="2024-05-12"/>
    <x v="6"/>
    <x v="6"/>
    <x v="3"/>
    <s v="Balance Sheet"/>
    <n v="-345.23"/>
  </r>
  <r>
    <s v="TRX-1414"/>
    <s v="2024-04-27"/>
    <x v="6"/>
    <x v="6"/>
    <x v="3"/>
    <s v="Balance Sheet"/>
    <n v="-500.51"/>
  </r>
  <r>
    <s v="TRX-1415"/>
    <s v="2024-01-30"/>
    <x v="6"/>
    <x v="6"/>
    <x v="3"/>
    <s v="Balance Sheet"/>
    <n v="-446.45"/>
  </r>
  <r>
    <s v="TRX-1416"/>
    <s v="2024-11-03"/>
    <x v="6"/>
    <x v="6"/>
    <x v="3"/>
    <s v="Balance Sheet"/>
    <n v="309.70999999999998"/>
  </r>
  <r>
    <s v="TRX-1419"/>
    <s v="2024-06-27"/>
    <x v="6"/>
    <x v="6"/>
    <x v="3"/>
    <s v="Balance Sheet"/>
    <n v="-793.95"/>
  </r>
  <r>
    <s v="TRX-1420"/>
    <s v="2024-04-13"/>
    <x v="6"/>
    <x v="6"/>
    <x v="3"/>
    <s v="Balance Sheet"/>
    <n v="-527.79"/>
  </r>
  <r>
    <s v="TRX-1423"/>
    <s v="2024-12-12"/>
    <x v="6"/>
    <x v="6"/>
    <x v="3"/>
    <s v="Balance Sheet"/>
    <n v="425.25"/>
  </r>
  <r>
    <s v="TRX-1424"/>
    <s v="2024-10-30"/>
    <x v="6"/>
    <x v="6"/>
    <x v="3"/>
    <s v="Balance Sheet"/>
    <n v="-614.89"/>
  </r>
  <r>
    <s v="TRX-1426"/>
    <s v="2024-03-25"/>
    <x v="6"/>
    <x v="6"/>
    <x v="3"/>
    <s v="Balance Sheet"/>
    <n v="856.47"/>
  </r>
  <r>
    <s v="TRX-1428"/>
    <s v="2024-03-20"/>
    <x v="6"/>
    <x v="6"/>
    <x v="3"/>
    <s v="Balance Sheet"/>
    <n v="496.1"/>
  </r>
  <r>
    <s v="TRX-1431"/>
    <s v="2024-07-24"/>
    <x v="6"/>
    <x v="6"/>
    <x v="3"/>
    <s v="Balance Sheet"/>
    <n v="787.28"/>
  </r>
  <r>
    <s v="TRX-1432"/>
    <s v="2024-06-05"/>
    <x v="6"/>
    <x v="6"/>
    <x v="3"/>
    <s v="Balance Sheet"/>
    <n v="958.31"/>
  </r>
  <r>
    <s v="TRX-1436"/>
    <s v="2024-08-05"/>
    <x v="6"/>
    <x v="6"/>
    <x v="3"/>
    <s v="Balance Sheet"/>
    <n v="-252.83"/>
  </r>
  <r>
    <s v="TRX-1438"/>
    <s v="2024-03-21"/>
    <x v="6"/>
    <x v="6"/>
    <x v="3"/>
    <s v="Balance Sheet"/>
    <n v="-288.57"/>
  </r>
  <r>
    <s v="TRX-1439"/>
    <s v="2024-05-26"/>
    <x v="6"/>
    <x v="6"/>
    <x v="3"/>
    <s v="Balance Sheet"/>
    <n v="-955.59"/>
  </r>
  <r>
    <s v="TRX-1441"/>
    <s v="2024-10-10"/>
    <x v="6"/>
    <x v="6"/>
    <x v="3"/>
    <s v="Balance Sheet"/>
    <n v="278.88"/>
  </r>
  <r>
    <s v="TRX-1444"/>
    <s v="2024-08-29"/>
    <x v="6"/>
    <x v="6"/>
    <x v="3"/>
    <s v="Balance Sheet"/>
    <n v="961.67"/>
  </r>
  <r>
    <s v="TRX-1448"/>
    <s v="2024-09-06"/>
    <x v="6"/>
    <x v="6"/>
    <x v="3"/>
    <s v="Balance Sheet"/>
    <n v="-349.04"/>
  </r>
  <r>
    <s v="TRX-1451"/>
    <s v="2024-11-12"/>
    <x v="6"/>
    <x v="6"/>
    <x v="3"/>
    <s v="Balance Sheet"/>
    <n v="448.52"/>
  </r>
  <r>
    <s v="TRX-1452"/>
    <s v="2024-05-19"/>
    <x v="6"/>
    <x v="6"/>
    <x v="3"/>
    <s v="Balance Sheet"/>
    <n v="-176.35"/>
  </r>
  <r>
    <s v="TRX-1454"/>
    <s v="2024-01-17"/>
    <x v="6"/>
    <x v="6"/>
    <x v="3"/>
    <s v="Balance Sheet"/>
    <n v="-445.7"/>
  </r>
  <r>
    <s v="TRX-1455"/>
    <s v="2024-08-08"/>
    <x v="6"/>
    <x v="6"/>
    <x v="3"/>
    <s v="Balance Sheet"/>
    <n v="712.25"/>
  </r>
  <r>
    <s v="TRX-1461"/>
    <s v="2024-06-22"/>
    <x v="6"/>
    <x v="6"/>
    <x v="3"/>
    <s v="Balance Sheet"/>
    <n v="-771.66"/>
  </r>
  <r>
    <s v="TRX-1466"/>
    <s v="2024-12-23"/>
    <x v="6"/>
    <x v="6"/>
    <x v="3"/>
    <s v="Balance Sheet"/>
    <n v="-141.11000000000001"/>
  </r>
  <r>
    <s v="TRX-1471"/>
    <s v="2024-08-20"/>
    <x v="6"/>
    <x v="6"/>
    <x v="3"/>
    <s v="Balance Sheet"/>
    <n v="-779.11"/>
  </r>
  <r>
    <s v="TRX-1472"/>
    <s v="2024-08-01"/>
    <x v="6"/>
    <x v="6"/>
    <x v="3"/>
    <s v="Balance Sheet"/>
    <n v="339.57"/>
  </r>
  <r>
    <s v="TRX-1473"/>
    <s v="2024-08-08"/>
    <x v="6"/>
    <x v="6"/>
    <x v="3"/>
    <s v="Balance Sheet"/>
    <n v="-784.15"/>
  </r>
  <r>
    <s v="TRX-1474"/>
    <s v="2024-07-22"/>
    <x v="6"/>
    <x v="6"/>
    <x v="3"/>
    <s v="Balance Sheet"/>
    <n v="669.11"/>
  </r>
  <r>
    <s v="TRX-1475"/>
    <s v="2024-10-24"/>
    <x v="6"/>
    <x v="6"/>
    <x v="3"/>
    <s v="Balance Sheet"/>
    <n v="996.8"/>
  </r>
  <r>
    <s v="TRX-1479"/>
    <s v="2024-09-01"/>
    <x v="6"/>
    <x v="6"/>
    <x v="3"/>
    <s v="Balance Sheet"/>
    <n v="773.65"/>
  </r>
  <r>
    <s v="TRX-1480"/>
    <s v="2024-06-30"/>
    <x v="6"/>
    <x v="6"/>
    <x v="3"/>
    <s v="Balance Sheet"/>
    <n v="371.43"/>
  </r>
  <r>
    <s v="TRX-1481"/>
    <s v="2024-10-26"/>
    <x v="6"/>
    <x v="6"/>
    <x v="3"/>
    <s v="Balance Sheet"/>
    <n v="-490.01"/>
  </r>
  <r>
    <s v="TRX-1483"/>
    <s v="2024-05-06"/>
    <x v="6"/>
    <x v="6"/>
    <x v="3"/>
    <s v="Balance Sheet"/>
    <n v="395.49"/>
  </r>
  <r>
    <s v="TRX-1484"/>
    <s v="2024-05-18"/>
    <x v="6"/>
    <x v="6"/>
    <x v="3"/>
    <s v="Balance Sheet"/>
    <n v="258.75"/>
  </r>
  <r>
    <s v="TRX-1487"/>
    <s v="2024-04-27"/>
    <x v="6"/>
    <x v="6"/>
    <x v="3"/>
    <s v="Balance Sheet"/>
    <n v="-285.19"/>
  </r>
  <r>
    <s v="TRX-1489"/>
    <s v="2024-08-30"/>
    <x v="6"/>
    <x v="6"/>
    <x v="3"/>
    <s v="Balance Sheet"/>
    <n v="387.33"/>
  </r>
  <r>
    <s v="TRX-1493"/>
    <s v="2024-01-11"/>
    <x v="6"/>
    <x v="6"/>
    <x v="3"/>
    <s v="Balance Sheet"/>
    <n v="-142.35"/>
  </r>
  <r>
    <s v="TRX-1495"/>
    <s v="2024-01-15"/>
    <x v="6"/>
    <x v="6"/>
    <x v="3"/>
    <s v="Balance Sheet"/>
    <n v="565.54999999999995"/>
  </r>
  <r>
    <s v="TRX-1497"/>
    <s v="2024-10-19"/>
    <x v="6"/>
    <x v="6"/>
    <x v="3"/>
    <s v="Balance Sheet"/>
    <n v="-585.41"/>
  </r>
  <r>
    <s v="TRX-1499"/>
    <s v="2024-07-16"/>
    <x v="6"/>
    <x v="6"/>
    <x v="3"/>
    <s v="Balance Sheet"/>
    <n v="-563.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458A57-DC3C-436D-B8B1-5A1C9D694993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1" firstHeaderRow="1" firstDataRow="1" firstDataCol="1"/>
  <pivotFields count="7">
    <pivotField showAll="0"/>
    <pivotField showAll="0"/>
    <pivotField showAll="0">
      <items count="8">
        <item x="1"/>
        <item x="0"/>
        <item x="2"/>
        <item x="6"/>
        <item x="5"/>
        <item x="4"/>
        <item x="3"/>
        <item t="default"/>
      </items>
    </pivotField>
    <pivotField axis="axisRow" showAll="0">
      <items count="8">
        <item sd="0" x="6"/>
        <item x="0"/>
        <item x="1"/>
        <item x="4"/>
        <item x="2"/>
        <item x="3"/>
        <item x="5"/>
        <item t="default"/>
      </items>
    </pivotField>
    <pivotField multipleItemSelectionAllowed="1" showAll="0">
      <items count="5">
        <item x="0"/>
        <item x="1"/>
        <item x="3"/>
        <item x="2"/>
        <item t="default"/>
      </items>
    </pivotField>
    <pivotField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mountGHS" fld="6" baseField="0" baseItem="0"/>
  </dataFields>
  <formats count="1">
    <format dxfId="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iew_Financial_Model_Source" backgroundRefresh="0" connectionId="2" xr16:uid="{48976C75-AECB-4D4E-B019-73501C5FF330}" autoFormatId="16" applyNumberFormats="0" applyBorderFormats="0" applyFontFormats="0" applyPatternFormats="0" applyAlignmentFormats="0" applyWidthHeightFormats="0">
  <queryTableRefresh nextId="8">
    <queryTableFields count="7">
      <queryTableField id="1" name="TransactionID" tableColumnId="1"/>
      <queryTableField id="2" name="TransactionDate" tableColumnId="2"/>
      <queryTableField id="3" name="AccountCode" tableColumnId="3"/>
      <queryTableField id="4" name="AccountName" tableColumnId="4"/>
      <queryTableField id="5" name="AccountType" tableColumnId="5"/>
      <queryTableField id="6" name="FinancialStatement" tableColumnId="6"/>
      <queryTableField id="7" name="AmountGHS" tableColumnId="7"/>
    </queryTableFields>
  </queryTableRefresh>
  <extLst>
    <ext xmlns:x15="http://schemas.microsoft.com/office/spreadsheetml/2010/11/main" uri="{883FBD77-0823-4a55-B5E3-86C4891E6966}">
      <x15:queryTable sourceDataName="Financial_Model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E9A39D-EF08-40AD-A1D5-EEBFB6929815}" name="Table_View_Financial_Model_Source" displayName="Table_View_Financial_Model_Source" ref="A1:G1001" tableType="queryTable" totalsRowShown="0">
  <autoFilter ref="A1:G1001" xr:uid="{57BACD93-8CD8-4DDE-9E9A-9C750AB78AA1}"/>
  <tableColumns count="7">
    <tableColumn id="1" xr3:uid="{96DA447F-A074-47EF-A313-F0561809D075}" uniqueName="1" name="TransactionID" queryTableFieldId="1"/>
    <tableColumn id="2" xr3:uid="{84C4A403-B68F-4287-9567-B52D9E09F17C}" uniqueName="2" name="TransactionDate" queryTableFieldId="2"/>
    <tableColumn id="3" xr3:uid="{A5AF2D0C-9B46-4A82-B203-FD5A0B1C844B}" uniqueName="3" name="AccountCode" queryTableFieldId="3"/>
    <tableColumn id="4" xr3:uid="{32B3D8BD-8E19-4C2F-9235-FBB411EDAA24}" uniqueName="4" name="AccountName" queryTableFieldId="4"/>
    <tableColumn id="5" xr3:uid="{038D73A1-2962-48E5-A3B5-9EBA59D07F04}" uniqueName="5" name="AccountType" queryTableFieldId="5"/>
    <tableColumn id="6" xr3:uid="{B25E424D-E79D-429C-8266-39A8326EFD52}" uniqueName="6" name="FinancialStatement" queryTableFieldId="6"/>
    <tableColumn id="7" xr3:uid="{A7F645D5-1459-42BD-AECC-183D13AEA78F}" uniqueName="7" name="AmountGHS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FFA9A-E8E5-4BEC-B016-10DC843D5354}">
  <dimension ref="A3:B11"/>
  <sheetViews>
    <sheetView workbookViewId="0">
      <selection activeCell="B11" sqref="B11"/>
    </sheetView>
  </sheetViews>
  <sheetFormatPr defaultRowHeight="14.5" x14ac:dyDescent="0.35"/>
  <cols>
    <col min="1" max="1" width="18.54296875" bestFit="1" customWidth="1"/>
    <col min="2" max="2" width="17.81640625" bestFit="1" customWidth="1"/>
  </cols>
  <sheetData>
    <row r="3" spans="1:2" x14ac:dyDescent="0.35">
      <c r="A3" s="1" t="s">
        <v>799</v>
      </c>
      <c r="B3" t="s">
        <v>801</v>
      </c>
    </row>
    <row r="4" spans="1:2" x14ac:dyDescent="0.35">
      <c r="A4" s="2" t="s">
        <v>797</v>
      </c>
      <c r="B4" s="3">
        <v>-11400.720000000005</v>
      </c>
    </row>
    <row r="5" spans="1:2" x14ac:dyDescent="0.35">
      <c r="A5" s="2" t="s">
        <v>10</v>
      </c>
      <c r="B5" s="3">
        <v>-9462.1700000000037</v>
      </c>
    </row>
    <row r="6" spans="1:2" x14ac:dyDescent="0.35">
      <c r="A6" s="2" t="s">
        <v>343</v>
      </c>
      <c r="B6" s="3">
        <v>233551.22000000009</v>
      </c>
    </row>
    <row r="7" spans="1:2" x14ac:dyDescent="0.35">
      <c r="A7" s="2" t="s">
        <v>792</v>
      </c>
      <c r="B7" s="3">
        <v>191050.14999999997</v>
      </c>
    </row>
    <row r="8" spans="1:2" x14ac:dyDescent="0.35">
      <c r="A8" s="2" t="s">
        <v>481</v>
      </c>
      <c r="B8" s="3">
        <v>-191050.14999999997</v>
      </c>
    </row>
    <row r="9" spans="1:2" x14ac:dyDescent="0.35">
      <c r="A9" s="2" t="s">
        <v>655</v>
      </c>
      <c r="B9" s="3">
        <v>59201.710000000021</v>
      </c>
    </row>
    <row r="10" spans="1:2" x14ac:dyDescent="0.35">
      <c r="A10" s="2" t="s">
        <v>794</v>
      </c>
      <c r="B10" s="3">
        <v>-271890.03999999986</v>
      </c>
    </row>
    <row r="11" spans="1:2" x14ac:dyDescent="0.35">
      <c r="A11" s="2" t="s">
        <v>800</v>
      </c>
      <c r="B11" s="4">
        <v>2.3283064365386963E-10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1C15-2BD2-4064-9E2F-A9A67200EBBD}">
  <dimension ref="A1:G1003"/>
  <sheetViews>
    <sheetView topLeftCell="A940" workbookViewId="0">
      <selection activeCell="G1004" sqref="G1004"/>
    </sheetView>
  </sheetViews>
  <sheetFormatPr defaultRowHeight="14.5" x14ac:dyDescent="0.35"/>
  <cols>
    <col min="1" max="1" width="14.81640625" bestFit="1" customWidth="1"/>
    <col min="2" max="2" width="17" bestFit="1" customWidth="1"/>
    <col min="3" max="3" width="14.453125" bestFit="1" customWidth="1"/>
    <col min="4" max="4" width="18.54296875" bestFit="1" customWidth="1"/>
    <col min="5" max="5" width="14.1796875" bestFit="1" customWidth="1"/>
    <col min="6" max="6" width="19.90625" bestFit="1" customWidth="1"/>
    <col min="7" max="7" width="13.6328125" style="4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4">
        <v>-3834.48</v>
      </c>
    </row>
    <row r="3" spans="1:7" x14ac:dyDescent="0.35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12</v>
      </c>
      <c r="G3" s="4">
        <v>4978.93</v>
      </c>
    </row>
    <row r="4" spans="1:7" x14ac:dyDescent="0.35">
      <c r="A4" t="s">
        <v>15</v>
      </c>
      <c r="B4" t="s">
        <v>16</v>
      </c>
      <c r="C4" t="s">
        <v>9</v>
      </c>
      <c r="D4" t="s">
        <v>10</v>
      </c>
      <c r="E4" t="s">
        <v>11</v>
      </c>
      <c r="F4" t="s">
        <v>12</v>
      </c>
      <c r="G4" s="4">
        <v>-1622.9</v>
      </c>
    </row>
    <row r="5" spans="1:7" x14ac:dyDescent="0.35">
      <c r="A5" t="s">
        <v>17</v>
      </c>
      <c r="B5" t="s">
        <v>18</v>
      </c>
      <c r="C5" t="s">
        <v>9</v>
      </c>
      <c r="D5" t="s">
        <v>10</v>
      </c>
      <c r="E5" t="s">
        <v>11</v>
      </c>
      <c r="F5" t="s">
        <v>12</v>
      </c>
      <c r="G5" s="4">
        <v>3156.71</v>
      </c>
    </row>
    <row r="6" spans="1:7" x14ac:dyDescent="0.35">
      <c r="A6" t="s">
        <v>19</v>
      </c>
      <c r="B6" t="s">
        <v>20</v>
      </c>
      <c r="C6" t="s">
        <v>9</v>
      </c>
      <c r="D6" t="s">
        <v>10</v>
      </c>
      <c r="E6" t="s">
        <v>11</v>
      </c>
      <c r="F6" t="s">
        <v>12</v>
      </c>
      <c r="G6" s="4">
        <v>-4475.3</v>
      </c>
    </row>
    <row r="7" spans="1:7" x14ac:dyDescent="0.35">
      <c r="A7" t="s">
        <v>21</v>
      </c>
      <c r="B7" t="s">
        <v>22</v>
      </c>
      <c r="C7" t="s">
        <v>9</v>
      </c>
      <c r="D7" t="s">
        <v>10</v>
      </c>
      <c r="E7" t="s">
        <v>11</v>
      </c>
      <c r="F7" t="s">
        <v>12</v>
      </c>
      <c r="G7" s="4">
        <v>1471.43</v>
      </c>
    </row>
    <row r="8" spans="1:7" x14ac:dyDescent="0.35">
      <c r="A8" t="s">
        <v>23</v>
      </c>
      <c r="B8" t="s">
        <v>24</v>
      </c>
      <c r="C8" t="s">
        <v>9</v>
      </c>
      <c r="D8" t="s">
        <v>10</v>
      </c>
      <c r="E8" t="s">
        <v>11</v>
      </c>
      <c r="F8" t="s">
        <v>12</v>
      </c>
      <c r="G8" s="4">
        <v>-1565.61</v>
      </c>
    </row>
    <row r="9" spans="1:7" x14ac:dyDescent="0.35">
      <c r="A9" t="s">
        <v>25</v>
      </c>
      <c r="B9" t="s">
        <v>26</v>
      </c>
      <c r="C9" t="s">
        <v>9</v>
      </c>
      <c r="D9" t="s">
        <v>10</v>
      </c>
      <c r="E9" t="s">
        <v>11</v>
      </c>
      <c r="F9" t="s">
        <v>12</v>
      </c>
      <c r="G9" s="4">
        <v>3617.97</v>
      </c>
    </row>
    <row r="10" spans="1:7" x14ac:dyDescent="0.35">
      <c r="A10" t="s">
        <v>27</v>
      </c>
      <c r="B10" t="s">
        <v>28</v>
      </c>
      <c r="C10" t="s">
        <v>9</v>
      </c>
      <c r="D10" t="s">
        <v>10</v>
      </c>
      <c r="E10" t="s">
        <v>11</v>
      </c>
      <c r="F10" t="s">
        <v>12</v>
      </c>
      <c r="G10" s="4">
        <v>-1424.32</v>
      </c>
    </row>
    <row r="11" spans="1:7" x14ac:dyDescent="0.35">
      <c r="A11" t="s">
        <v>29</v>
      </c>
      <c r="B11" t="s">
        <v>30</v>
      </c>
      <c r="C11" t="s">
        <v>9</v>
      </c>
      <c r="D11" t="s">
        <v>10</v>
      </c>
      <c r="E11" t="s">
        <v>11</v>
      </c>
      <c r="F11" t="s">
        <v>12</v>
      </c>
      <c r="G11" s="4">
        <v>-2537.58</v>
      </c>
    </row>
    <row r="12" spans="1:7" x14ac:dyDescent="0.35">
      <c r="A12" t="s">
        <v>31</v>
      </c>
      <c r="B12" t="s">
        <v>32</v>
      </c>
      <c r="C12" t="s">
        <v>9</v>
      </c>
      <c r="D12" t="s">
        <v>10</v>
      </c>
      <c r="E12" t="s">
        <v>11</v>
      </c>
      <c r="F12" t="s">
        <v>12</v>
      </c>
      <c r="G12" s="4">
        <v>1713.5</v>
      </c>
    </row>
    <row r="13" spans="1:7" x14ac:dyDescent="0.35">
      <c r="A13" t="s">
        <v>33</v>
      </c>
      <c r="B13" t="s">
        <v>34</v>
      </c>
      <c r="C13" t="s">
        <v>9</v>
      </c>
      <c r="D13" t="s">
        <v>10</v>
      </c>
      <c r="E13" t="s">
        <v>11</v>
      </c>
      <c r="F13" t="s">
        <v>12</v>
      </c>
      <c r="G13" s="4">
        <v>-2299.71</v>
      </c>
    </row>
    <row r="14" spans="1:7" x14ac:dyDescent="0.35">
      <c r="A14" t="s">
        <v>35</v>
      </c>
      <c r="B14" t="s">
        <v>36</v>
      </c>
      <c r="C14" t="s">
        <v>9</v>
      </c>
      <c r="D14" t="s">
        <v>10</v>
      </c>
      <c r="E14" t="s">
        <v>11</v>
      </c>
      <c r="F14" t="s">
        <v>12</v>
      </c>
      <c r="G14" s="4">
        <v>4295.1000000000004</v>
      </c>
    </row>
    <row r="15" spans="1:7" x14ac:dyDescent="0.35">
      <c r="A15" t="s">
        <v>37</v>
      </c>
      <c r="B15" t="s">
        <v>38</v>
      </c>
      <c r="C15" t="s">
        <v>9</v>
      </c>
      <c r="D15" t="s">
        <v>10</v>
      </c>
      <c r="E15" t="s">
        <v>11</v>
      </c>
      <c r="F15" t="s">
        <v>12</v>
      </c>
      <c r="G15" s="4">
        <v>-4087.97</v>
      </c>
    </row>
    <row r="16" spans="1:7" x14ac:dyDescent="0.35">
      <c r="A16" t="s">
        <v>39</v>
      </c>
      <c r="B16" t="s">
        <v>40</v>
      </c>
      <c r="C16" t="s">
        <v>9</v>
      </c>
      <c r="D16" t="s">
        <v>10</v>
      </c>
      <c r="E16" t="s">
        <v>11</v>
      </c>
      <c r="F16" t="s">
        <v>12</v>
      </c>
      <c r="G16" s="4">
        <v>2665.73</v>
      </c>
    </row>
    <row r="17" spans="1:7" x14ac:dyDescent="0.35">
      <c r="A17" t="s">
        <v>41</v>
      </c>
      <c r="B17" t="s">
        <v>42</v>
      </c>
      <c r="C17" t="s">
        <v>9</v>
      </c>
      <c r="D17" t="s">
        <v>10</v>
      </c>
      <c r="E17" t="s">
        <v>11</v>
      </c>
      <c r="F17" t="s">
        <v>12</v>
      </c>
      <c r="G17" s="4">
        <v>4666.18</v>
      </c>
    </row>
    <row r="18" spans="1:7" x14ac:dyDescent="0.35">
      <c r="A18" t="s">
        <v>43</v>
      </c>
      <c r="B18" t="s">
        <v>44</v>
      </c>
      <c r="C18" t="s">
        <v>9</v>
      </c>
      <c r="D18" t="s">
        <v>10</v>
      </c>
      <c r="E18" t="s">
        <v>11</v>
      </c>
      <c r="F18" t="s">
        <v>12</v>
      </c>
      <c r="G18" s="4">
        <v>-3944.21</v>
      </c>
    </row>
    <row r="19" spans="1:7" x14ac:dyDescent="0.35">
      <c r="A19" t="s">
        <v>45</v>
      </c>
      <c r="B19" t="s">
        <v>14</v>
      </c>
      <c r="C19" t="s">
        <v>9</v>
      </c>
      <c r="D19" t="s">
        <v>10</v>
      </c>
      <c r="E19" t="s">
        <v>11</v>
      </c>
      <c r="F19" t="s">
        <v>12</v>
      </c>
      <c r="G19" s="4">
        <v>-3231.25</v>
      </c>
    </row>
    <row r="20" spans="1:7" x14ac:dyDescent="0.35">
      <c r="A20" t="s">
        <v>46</v>
      </c>
      <c r="B20" t="s">
        <v>47</v>
      </c>
      <c r="C20" t="s">
        <v>9</v>
      </c>
      <c r="D20" t="s">
        <v>10</v>
      </c>
      <c r="E20" t="s">
        <v>11</v>
      </c>
      <c r="F20" t="s">
        <v>12</v>
      </c>
      <c r="G20" s="4">
        <v>-1147.1300000000001</v>
      </c>
    </row>
    <row r="21" spans="1:7" x14ac:dyDescent="0.35">
      <c r="A21" t="s">
        <v>48</v>
      </c>
      <c r="B21" t="s">
        <v>49</v>
      </c>
      <c r="C21" t="s">
        <v>9</v>
      </c>
      <c r="D21" t="s">
        <v>10</v>
      </c>
      <c r="E21" t="s">
        <v>11</v>
      </c>
      <c r="F21" t="s">
        <v>12</v>
      </c>
      <c r="G21" s="4">
        <v>1439.81</v>
      </c>
    </row>
    <row r="22" spans="1:7" x14ac:dyDescent="0.35">
      <c r="A22" t="s">
        <v>50</v>
      </c>
      <c r="B22" t="s">
        <v>51</v>
      </c>
      <c r="C22" t="s">
        <v>9</v>
      </c>
      <c r="D22" t="s">
        <v>10</v>
      </c>
      <c r="E22" t="s">
        <v>11</v>
      </c>
      <c r="F22" t="s">
        <v>12</v>
      </c>
      <c r="G22" s="4">
        <v>2214.75</v>
      </c>
    </row>
    <row r="23" spans="1:7" x14ac:dyDescent="0.35">
      <c r="A23" t="s">
        <v>52</v>
      </c>
      <c r="B23" t="s">
        <v>53</v>
      </c>
      <c r="C23" t="s">
        <v>9</v>
      </c>
      <c r="D23" t="s">
        <v>10</v>
      </c>
      <c r="E23" t="s">
        <v>11</v>
      </c>
      <c r="F23" t="s">
        <v>12</v>
      </c>
      <c r="G23" s="4">
        <v>-4182.21</v>
      </c>
    </row>
    <row r="24" spans="1:7" x14ac:dyDescent="0.35">
      <c r="A24" t="s">
        <v>54</v>
      </c>
      <c r="B24" t="s">
        <v>55</v>
      </c>
      <c r="C24" t="s">
        <v>9</v>
      </c>
      <c r="D24" t="s">
        <v>10</v>
      </c>
      <c r="E24" t="s">
        <v>11</v>
      </c>
      <c r="F24" t="s">
        <v>12</v>
      </c>
      <c r="G24" s="4">
        <v>2852.69</v>
      </c>
    </row>
    <row r="25" spans="1:7" x14ac:dyDescent="0.35">
      <c r="A25" t="s">
        <v>56</v>
      </c>
      <c r="B25" t="s">
        <v>57</v>
      </c>
      <c r="C25" t="s">
        <v>9</v>
      </c>
      <c r="D25" t="s">
        <v>10</v>
      </c>
      <c r="E25" t="s">
        <v>11</v>
      </c>
      <c r="F25" t="s">
        <v>12</v>
      </c>
      <c r="G25" s="4">
        <v>-4234.49</v>
      </c>
    </row>
    <row r="26" spans="1:7" x14ac:dyDescent="0.35">
      <c r="A26" t="s">
        <v>58</v>
      </c>
      <c r="B26" t="s">
        <v>59</v>
      </c>
      <c r="C26" t="s">
        <v>9</v>
      </c>
      <c r="D26" t="s">
        <v>10</v>
      </c>
      <c r="E26" t="s">
        <v>11</v>
      </c>
      <c r="F26" t="s">
        <v>12</v>
      </c>
      <c r="G26" s="4">
        <v>4487.46</v>
      </c>
    </row>
    <row r="27" spans="1:7" x14ac:dyDescent="0.35">
      <c r="A27" t="s">
        <v>60</v>
      </c>
      <c r="B27" t="s">
        <v>61</v>
      </c>
      <c r="C27" t="s">
        <v>9</v>
      </c>
      <c r="D27" t="s">
        <v>10</v>
      </c>
      <c r="E27" t="s">
        <v>11</v>
      </c>
      <c r="F27" t="s">
        <v>12</v>
      </c>
      <c r="G27" s="4">
        <v>-4849.08</v>
      </c>
    </row>
    <row r="28" spans="1:7" x14ac:dyDescent="0.35">
      <c r="A28" t="s">
        <v>62</v>
      </c>
      <c r="B28" t="s">
        <v>63</v>
      </c>
      <c r="C28" t="s">
        <v>9</v>
      </c>
      <c r="D28" t="s">
        <v>10</v>
      </c>
      <c r="E28" t="s">
        <v>11</v>
      </c>
      <c r="F28" t="s">
        <v>12</v>
      </c>
      <c r="G28" s="4">
        <v>2183.66</v>
      </c>
    </row>
    <row r="29" spans="1:7" x14ac:dyDescent="0.35">
      <c r="A29" t="s">
        <v>64</v>
      </c>
      <c r="B29" t="s">
        <v>65</v>
      </c>
      <c r="C29" t="s">
        <v>9</v>
      </c>
      <c r="D29" t="s">
        <v>10</v>
      </c>
      <c r="E29" t="s">
        <v>11</v>
      </c>
      <c r="F29" t="s">
        <v>12</v>
      </c>
      <c r="G29" s="4">
        <v>-1796.07</v>
      </c>
    </row>
    <row r="30" spans="1:7" x14ac:dyDescent="0.35">
      <c r="A30" t="s">
        <v>66</v>
      </c>
      <c r="B30" t="s">
        <v>67</v>
      </c>
      <c r="C30" t="s">
        <v>9</v>
      </c>
      <c r="D30" t="s">
        <v>10</v>
      </c>
      <c r="E30" t="s">
        <v>11</v>
      </c>
      <c r="F30" t="s">
        <v>12</v>
      </c>
      <c r="G30" s="4">
        <v>-4468.43</v>
      </c>
    </row>
    <row r="31" spans="1:7" x14ac:dyDescent="0.35">
      <c r="A31" t="s">
        <v>68</v>
      </c>
      <c r="B31" t="s">
        <v>61</v>
      </c>
      <c r="C31" t="s">
        <v>9</v>
      </c>
      <c r="D31" t="s">
        <v>10</v>
      </c>
      <c r="E31" t="s">
        <v>11</v>
      </c>
      <c r="F31" t="s">
        <v>12</v>
      </c>
      <c r="G31" s="4">
        <v>-4363.9799999999996</v>
      </c>
    </row>
    <row r="32" spans="1:7" x14ac:dyDescent="0.35">
      <c r="A32" t="s">
        <v>69</v>
      </c>
      <c r="B32" t="s">
        <v>55</v>
      </c>
      <c r="C32" t="s">
        <v>9</v>
      </c>
      <c r="D32" t="s">
        <v>10</v>
      </c>
      <c r="E32" t="s">
        <v>11</v>
      </c>
      <c r="F32" t="s">
        <v>12</v>
      </c>
      <c r="G32" s="4">
        <v>-3022.93</v>
      </c>
    </row>
    <row r="33" spans="1:7" x14ac:dyDescent="0.35">
      <c r="A33" t="s">
        <v>70</v>
      </c>
      <c r="B33" t="s">
        <v>71</v>
      </c>
      <c r="C33" t="s">
        <v>9</v>
      </c>
      <c r="D33" t="s">
        <v>10</v>
      </c>
      <c r="E33" t="s">
        <v>11</v>
      </c>
      <c r="F33" t="s">
        <v>12</v>
      </c>
      <c r="G33" s="4">
        <v>-1023.31</v>
      </c>
    </row>
    <row r="34" spans="1:7" x14ac:dyDescent="0.35">
      <c r="A34" t="s">
        <v>72</v>
      </c>
      <c r="B34" t="s">
        <v>73</v>
      </c>
      <c r="C34" t="s">
        <v>9</v>
      </c>
      <c r="D34" t="s">
        <v>10</v>
      </c>
      <c r="E34" t="s">
        <v>11</v>
      </c>
      <c r="F34" t="s">
        <v>12</v>
      </c>
      <c r="G34" s="4">
        <v>-4912.8</v>
      </c>
    </row>
    <row r="35" spans="1:7" x14ac:dyDescent="0.35">
      <c r="A35" t="s">
        <v>74</v>
      </c>
      <c r="B35" t="s">
        <v>75</v>
      </c>
      <c r="C35" t="s">
        <v>9</v>
      </c>
      <c r="D35" t="s">
        <v>10</v>
      </c>
      <c r="E35" t="s">
        <v>11</v>
      </c>
      <c r="F35" t="s">
        <v>12</v>
      </c>
      <c r="G35" s="4">
        <v>4723.25</v>
      </c>
    </row>
    <row r="36" spans="1:7" x14ac:dyDescent="0.35">
      <c r="A36" t="s">
        <v>76</v>
      </c>
      <c r="B36" t="s">
        <v>77</v>
      </c>
      <c r="C36" t="s">
        <v>9</v>
      </c>
      <c r="D36" t="s">
        <v>10</v>
      </c>
      <c r="E36" t="s">
        <v>11</v>
      </c>
      <c r="F36" t="s">
        <v>12</v>
      </c>
      <c r="G36" s="4">
        <v>-2330.92</v>
      </c>
    </row>
    <row r="37" spans="1:7" x14ac:dyDescent="0.35">
      <c r="A37" t="s">
        <v>78</v>
      </c>
      <c r="B37" t="s">
        <v>79</v>
      </c>
      <c r="C37" t="s">
        <v>9</v>
      </c>
      <c r="D37" t="s">
        <v>10</v>
      </c>
      <c r="E37" t="s">
        <v>11</v>
      </c>
      <c r="F37" t="s">
        <v>12</v>
      </c>
      <c r="G37" s="4">
        <v>-4228.58</v>
      </c>
    </row>
    <row r="38" spans="1:7" x14ac:dyDescent="0.35">
      <c r="A38" t="s">
        <v>80</v>
      </c>
      <c r="B38" t="s">
        <v>81</v>
      </c>
      <c r="C38" t="s">
        <v>9</v>
      </c>
      <c r="D38" t="s">
        <v>10</v>
      </c>
      <c r="E38" t="s">
        <v>11</v>
      </c>
      <c r="F38" t="s">
        <v>12</v>
      </c>
      <c r="G38" s="4">
        <v>4251.3599999999997</v>
      </c>
    </row>
    <row r="39" spans="1:7" x14ac:dyDescent="0.35">
      <c r="A39" t="s">
        <v>82</v>
      </c>
      <c r="B39" t="s">
        <v>83</v>
      </c>
      <c r="C39" t="s">
        <v>9</v>
      </c>
      <c r="D39" t="s">
        <v>10</v>
      </c>
      <c r="E39" t="s">
        <v>11</v>
      </c>
      <c r="F39" t="s">
        <v>12</v>
      </c>
      <c r="G39" s="4">
        <v>4023.18</v>
      </c>
    </row>
    <row r="40" spans="1:7" x14ac:dyDescent="0.35">
      <c r="A40" t="s">
        <v>84</v>
      </c>
      <c r="B40" t="s">
        <v>85</v>
      </c>
      <c r="C40" t="s">
        <v>9</v>
      </c>
      <c r="D40" t="s">
        <v>10</v>
      </c>
      <c r="E40" t="s">
        <v>11</v>
      </c>
      <c r="F40" t="s">
        <v>12</v>
      </c>
      <c r="G40" s="4">
        <v>1417.13</v>
      </c>
    </row>
    <row r="41" spans="1:7" x14ac:dyDescent="0.35">
      <c r="A41" t="s">
        <v>86</v>
      </c>
      <c r="B41" t="s">
        <v>87</v>
      </c>
      <c r="C41" t="s">
        <v>9</v>
      </c>
      <c r="D41" t="s">
        <v>10</v>
      </c>
      <c r="E41" t="s">
        <v>11</v>
      </c>
      <c r="F41" t="s">
        <v>12</v>
      </c>
      <c r="G41" s="4">
        <v>4710.8900000000003</v>
      </c>
    </row>
    <row r="42" spans="1:7" x14ac:dyDescent="0.35">
      <c r="A42" t="s">
        <v>88</v>
      </c>
      <c r="B42" t="s">
        <v>89</v>
      </c>
      <c r="C42" t="s">
        <v>9</v>
      </c>
      <c r="D42" t="s">
        <v>10</v>
      </c>
      <c r="E42" t="s">
        <v>11</v>
      </c>
      <c r="F42" t="s">
        <v>12</v>
      </c>
      <c r="G42" s="4">
        <v>1039.8</v>
      </c>
    </row>
    <row r="43" spans="1:7" x14ac:dyDescent="0.35">
      <c r="A43" t="s">
        <v>90</v>
      </c>
      <c r="B43" t="s">
        <v>91</v>
      </c>
      <c r="C43" t="s">
        <v>9</v>
      </c>
      <c r="D43" t="s">
        <v>10</v>
      </c>
      <c r="E43" t="s">
        <v>11</v>
      </c>
      <c r="F43" t="s">
        <v>12</v>
      </c>
      <c r="G43" s="4">
        <v>4970.38</v>
      </c>
    </row>
    <row r="44" spans="1:7" x14ac:dyDescent="0.35">
      <c r="A44" t="s">
        <v>92</v>
      </c>
      <c r="B44" t="s">
        <v>93</v>
      </c>
      <c r="C44" t="s">
        <v>9</v>
      </c>
      <c r="D44" t="s">
        <v>10</v>
      </c>
      <c r="E44" t="s">
        <v>11</v>
      </c>
      <c r="F44" t="s">
        <v>12</v>
      </c>
      <c r="G44" s="4">
        <v>3241</v>
      </c>
    </row>
    <row r="45" spans="1:7" x14ac:dyDescent="0.35">
      <c r="A45" t="s">
        <v>94</v>
      </c>
      <c r="B45" t="s">
        <v>95</v>
      </c>
      <c r="C45" t="s">
        <v>9</v>
      </c>
      <c r="D45" t="s">
        <v>10</v>
      </c>
      <c r="E45" t="s">
        <v>11</v>
      </c>
      <c r="F45" t="s">
        <v>12</v>
      </c>
      <c r="G45" s="4">
        <v>4236.47</v>
      </c>
    </row>
    <row r="46" spans="1:7" x14ac:dyDescent="0.35">
      <c r="A46" t="s">
        <v>96</v>
      </c>
      <c r="B46" t="s">
        <v>97</v>
      </c>
      <c r="C46" t="s">
        <v>9</v>
      </c>
      <c r="D46" t="s">
        <v>10</v>
      </c>
      <c r="E46" t="s">
        <v>11</v>
      </c>
      <c r="F46" t="s">
        <v>12</v>
      </c>
      <c r="G46" s="4">
        <v>2886.05</v>
      </c>
    </row>
    <row r="47" spans="1:7" x14ac:dyDescent="0.35">
      <c r="A47" t="s">
        <v>98</v>
      </c>
      <c r="B47" t="s">
        <v>83</v>
      </c>
      <c r="C47" t="s">
        <v>9</v>
      </c>
      <c r="D47" t="s">
        <v>10</v>
      </c>
      <c r="E47" t="s">
        <v>11</v>
      </c>
      <c r="F47" t="s">
        <v>12</v>
      </c>
      <c r="G47" s="4">
        <v>3588.62</v>
      </c>
    </row>
    <row r="48" spans="1:7" x14ac:dyDescent="0.35">
      <c r="A48" t="s">
        <v>99</v>
      </c>
      <c r="B48" t="s">
        <v>100</v>
      </c>
      <c r="C48" t="s">
        <v>9</v>
      </c>
      <c r="D48" t="s">
        <v>10</v>
      </c>
      <c r="E48" t="s">
        <v>11</v>
      </c>
      <c r="F48" t="s">
        <v>12</v>
      </c>
      <c r="G48" s="4">
        <v>2096.0300000000002</v>
      </c>
    </row>
    <row r="49" spans="1:7" x14ac:dyDescent="0.35">
      <c r="A49" t="s">
        <v>101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s="4">
        <v>-4956.3100000000004</v>
      </c>
    </row>
    <row r="50" spans="1:7" x14ac:dyDescent="0.35">
      <c r="A50" t="s">
        <v>102</v>
      </c>
      <c r="B50" t="s">
        <v>103</v>
      </c>
      <c r="C50" t="s">
        <v>9</v>
      </c>
      <c r="D50" t="s">
        <v>10</v>
      </c>
      <c r="E50" t="s">
        <v>11</v>
      </c>
      <c r="F50" t="s">
        <v>12</v>
      </c>
      <c r="G50" s="4">
        <v>4659.41</v>
      </c>
    </row>
    <row r="51" spans="1:7" x14ac:dyDescent="0.35">
      <c r="A51" t="s">
        <v>104</v>
      </c>
      <c r="B51" t="s">
        <v>105</v>
      </c>
      <c r="C51" t="s">
        <v>9</v>
      </c>
      <c r="D51" t="s">
        <v>10</v>
      </c>
      <c r="E51" t="s">
        <v>11</v>
      </c>
      <c r="F51" t="s">
        <v>12</v>
      </c>
      <c r="G51" s="4">
        <v>-4804.92</v>
      </c>
    </row>
    <row r="52" spans="1:7" x14ac:dyDescent="0.35">
      <c r="A52" t="s">
        <v>106</v>
      </c>
      <c r="B52" t="s">
        <v>81</v>
      </c>
      <c r="C52" t="s">
        <v>9</v>
      </c>
      <c r="D52" t="s">
        <v>10</v>
      </c>
      <c r="E52" t="s">
        <v>11</v>
      </c>
      <c r="F52" t="s">
        <v>12</v>
      </c>
      <c r="G52" s="4">
        <v>2027.18</v>
      </c>
    </row>
    <row r="53" spans="1:7" x14ac:dyDescent="0.35">
      <c r="A53" t="s">
        <v>107</v>
      </c>
      <c r="B53" t="s">
        <v>108</v>
      </c>
      <c r="C53" t="s">
        <v>9</v>
      </c>
      <c r="D53" t="s">
        <v>10</v>
      </c>
      <c r="E53" t="s">
        <v>11</v>
      </c>
      <c r="F53" t="s">
        <v>12</v>
      </c>
      <c r="G53" s="4">
        <v>-4008.02</v>
      </c>
    </row>
    <row r="54" spans="1:7" x14ac:dyDescent="0.35">
      <c r="A54" t="s">
        <v>109</v>
      </c>
      <c r="B54" t="s">
        <v>110</v>
      </c>
      <c r="C54" t="s">
        <v>9</v>
      </c>
      <c r="D54" t="s">
        <v>10</v>
      </c>
      <c r="E54" t="s">
        <v>11</v>
      </c>
      <c r="F54" t="s">
        <v>12</v>
      </c>
      <c r="G54" s="4">
        <v>1917.34</v>
      </c>
    </row>
    <row r="55" spans="1:7" x14ac:dyDescent="0.35">
      <c r="A55" t="s">
        <v>111</v>
      </c>
      <c r="B55" t="s">
        <v>112</v>
      </c>
      <c r="C55" t="s">
        <v>9</v>
      </c>
      <c r="D55" t="s">
        <v>10</v>
      </c>
      <c r="E55" t="s">
        <v>11</v>
      </c>
      <c r="F55" t="s">
        <v>12</v>
      </c>
      <c r="G55" s="4">
        <v>1569.21</v>
      </c>
    </row>
    <row r="56" spans="1:7" x14ac:dyDescent="0.35">
      <c r="A56" t="s">
        <v>113</v>
      </c>
      <c r="B56" t="s">
        <v>114</v>
      </c>
      <c r="C56" t="s">
        <v>9</v>
      </c>
      <c r="D56" t="s">
        <v>10</v>
      </c>
      <c r="E56" t="s">
        <v>11</v>
      </c>
      <c r="F56" t="s">
        <v>12</v>
      </c>
      <c r="G56" s="4">
        <v>-4891.46</v>
      </c>
    </row>
    <row r="57" spans="1:7" x14ac:dyDescent="0.35">
      <c r="A57" t="s">
        <v>115</v>
      </c>
      <c r="B57" t="s">
        <v>116</v>
      </c>
      <c r="C57" t="s">
        <v>9</v>
      </c>
      <c r="D57" t="s">
        <v>10</v>
      </c>
      <c r="E57" t="s">
        <v>11</v>
      </c>
      <c r="F57" t="s">
        <v>12</v>
      </c>
      <c r="G57" s="4">
        <v>4108.72</v>
      </c>
    </row>
    <row r="58" spans="1:7" x14ac:dyDescent="0.35">
      <c r="A58" t="s">
        <v>117</v>
      </c>
      <c r="B58" t="s">
        <v>118</v>
      </c>
      <c r="C58" t="s">
        <v>9</v>
      </c>
      <c r="D58" t="s">
        <v>10</v>
      </c>
      <c r="E58" t="s">
        <v>11</v>
      </c>
      <c r="F58" t="s">
        <v>12</v>
      </c>
      <c r="G58" s="4">
        <v>2639.69</v>
      </c>
    </row>
    <row r="59" spans="1:7" x14ac:dyDescent="0.35">
      <c r="A59" t="s">
        <v>119</v>
      </c>
      <c r="B59" t="s">
        <v>120</v>
      </c>
      <c r="C59" t="s">
        <v>9</v>
      </c>
      <c r="D59" t="s">
        <v>10</v>
      </c>
      <c r="E59" t="s">
        <v>11</v>
      </c>
      <c r="F59" t="s">
        <v>12</v>
      </c>
      <c r="G59" s="4">
        <v>-2539.3000000000002</v>
      </c>
    </row>
    <row r="60" spans="1:7" x14ac:dyDescent="0.35">
      <c r="A60" t="s">
        <v>121</v>
      </c>
      <c r="B60" t="s">
        <v>122</v>
      </c>
      <c r="C60" t="s">
        <v>9</v>
      </c>
      <c r="D60" t="s">
        <v>10</v>
      </c>
      <c r="E60" t="s">
        <v>11</v>
      </c>
      <c r="F60" t="s">
        <v>12</v>
      </c>
      <c r="G60" s="4">
        <v>-1320.93</v>
      </c>
    </row>
    <row r="61" spans="1:7" x14ac:dyDescent="0.35">
      <c r="A61" t="s">
        <v>123</v>
      </c>
      <c r="B61" t="s">
        <v>14</v>
      </c>
      <c r="C61" t="s">
        <v>9</v>
      </c>
      <c r="D61" t="s">
        <v>10</v>
      </c>
      <c r="E61" t="s">
        <v>11</v>
      </c>
      <c r="F61" t="s">
        <v>12</v>
      </c>
      <c r="G61" s="4">
        <v>2690.75</v>
      </c>
    </row>
    <row r="62" spans="1:7" x14ac:dyDescent="0.35">
      <c r="A62" t="s">
        <v>124</v>
      </c>
      <c r="B62" t="s">
        <v>125</v>
      </c>
      <c r="C62" t="s">
        <v>9</v>
      </c>
      <c r="D62" t="s">
        <v>10</v>
      </c>
      <c r="E62" t="s">
        <v>11</v>
      </c>
      <c r="F62" t="s">
        <v>12</v>
      </c>
      <c r="G62" s="4">
        <v>-3945.87</v>
      </c>
    </row>
    <row r="63" spans="1:7" x14ac:dyDescent="0.35">
      <c r="A63" t="s">
        <v>126</v>
      </c>
      <c r="B63" t="s">
        <v>127</v>
      </c>
      <c r="C63" t="s">
        <v>9</v>
      </c>
      <c r="D63" t="s">
        <v>10</v>
      </c>
      <c r="E63" t="s">
        <v>11</v>
      </c>
      <c r="F63" t="s">
        <v>12</v>
      </c>
      <c r="G63" s="4">
        <v>1113.2</v>
      </c>
    </row>
    <row r="64" spans="1:7" x14ac:dyDescent="0.35">
      <c r="A64" t="s">
        <v>128</v>
      </c>
      <c r="B64" t="s">
        <v>129</v>
      </c>
      <c r="C64" t="s">
        <v>9</v>
      </c>
      <c r="D64" t="s">
        <v>10</v>
      </c>
      <c r="E64" t="s">
        <v>11</v>
      </c>
      <c r="F64" t="s">
        <v>12</v>
      </c>
      <c r="G64" s="4">
        <v>4350.0200000000004</v>
      </c>
    </row>
    <row r="65" spans="1:7" x14ac:dyDescent="0.35">
      <c r="A65" t="s">
        <v>130</v>
      </c>
      <c r="B65" t="s">
        <v>131</v>
      </c>
      <c r="C65" t="s">
        <v>9</v>
      </c>
      <c r="D65" t="s">
        <v>10</v>
      </c>
      <c r="E65" t="s">
        <v>11</v>
      </c>
      <c r="F65" t="s">
        <v>12</v>
      </c>
      <c r="G65" s="4">
        <v>-4026.21</v>
      </c>
    </row>
    <row r="66" spans="1:7" x14ac:dyDescent="0.35">
      <c r="A66" t="s">
        <v>132</v>
      </c>
      <c r="B66" t="s">
        <v>133</v>
      </c>
      <c r="C66" t="s">
        <v>9</v>
      </c>
      <c r="D66" t="s">
        <v>10</v>
      </c>
      <c r="E66" t="s">
        <v>11</v>
      </c>
      <c r="F66" t="s">
        <v>12</v>
      </c>
      <c r="G66" s="4">
        <v>-3291.58</v>
      </c>
    </row>
    <row r="67" spans="1:7" x14ac:dyDescent="0.35">
      <c r="A67" t="s">
        <v>134</v>
      </c>
      <c r="B67" t="s">
        <v>135</v>
      </c>
      <c r="C67" t="s">
        <v>9</v>
      </c>
      <c r="D67" t="s">
        <v>10</v>
      </c>
      <c r="E67" t="s">
        <v>11</v>
      </c>
      <c r="F67" t="s">
        <v>12</v>
      </c>
      <c r="G67" s="4">
        <v>-3313.94</v>
      </c>
    </row>
    <row r="68" spans="1:7" x14ac:dyDescent="0.35">
      <c r="A68" t="s">
        <v>136</v>
      </c>
      <c r="B68" t="s">
        <v>137</v>
      </c>
      <c r="C68" t="s">
        <v>9</v>
      </c>
      <c r="D68" t="s">
        <v>10</v>
      </c>
      <c r="E68" t="s">
        <v>11</v>
      </c>
      <c r="F68" t="s">
        <v>12</v>
      </c>
      <c r="G68" s="4">
        <v>4947.87</v>
      </c>
    </row>
    <row r="69" spans="1:7" x14ac:dyDescent="0.35">
      <c r="A69" t="s">
        <v>138</v>
      </c>
      <c r="B69" t="s">
        <v>112</v>
      </c>
      <c r="C69" t="s">
        <v>9</v>
      </c>
      <c r="D69" t="s">
        <v>10</v>
      </c>
      <c r="E69" t="s">
        <v>11</v>
      </c>
      <c r="F69" t="s">
        <v>12</v>
      </c>
      <c r="G69" s="4">
        <v>-3135.46</v>
      </c>
    </row>
    <row r="70" spans="1:7" x14ac:dyDescent="0.35">
      <c r="A70" t="s">
        <v>139</v>
      </c>
      <c r="B70" t="s">
        <v>140</v>
      </c>
      <c r="C70" t="s">
        <v>9</v>
      </c>
      <c r="D70" t="s">
        <v>10</v>
      </c>
      <c r="E70" t="s">
        <v>11</v>
      </c>
      <c r="F70" t="s">
        <v>12</v>
      </c>
      <c r="G70" s="4">
        <v>2865.72</v>
      </c>
    </row>
    <row r="71" spans="1:7" x14ac:dyDescent="0.35">
      <c r="A71" t="s">
        <v>141</v>
      </c>
      <c r="B71" t="s">
        <v>24</v>
      </c>
      <c r="C71" t="s">
        <v>9</v>
      </c>
      <c r="D71" t="s">
        <v>10</v>
      </c>
      <c r="E71" t="s">
        <v>11</v>
      </c>
      <c r="F71" t="s">
        <v>12</v>
      </c>
      <c r="G71" s="4">
        <v>-1216.77</v>
      </c>
    </row>
    <row r="72" spans="1:7" x14ac:dyDescent="0.35">
      <c r="A72" t="s">
        <v>142</v>
      </c>
      <c r="B72" t="s">
        <v>143</v>
      </c>
      <c r="C72" t="s">
        <v>9</v>
      </c>
      <c r="D72" t="s">
        <v>10</v>
      </c>
      <c r="E72" t="s">
        <v>11</v>
      </c>
      <c r="F72" t="s">
        <v>12</v>
      </c>
      <c r="G72" s="4">
        <v>2279.5300000000002</v>
      </c>
    </row>
    <row r="73" spans="1:7" x14ac:dyDescent="0.35">
      <c r="A73" t="s">
        <v>144</v>
      </c>
      <c r="B73" t="s">
        <v>145</v>
      </c>
      <c r="C73" t="s">
        <v>9</v>
      </c>
      <c r="D73" t="s">
        <v>10</v>
      </c>
      <c r="E73" t="s">
        <v>11</v>
      </c>
      <c r="F73" t="s">
        <v>12</v>
      </c>
      <c r="G73" s="4">
        <v>-3462.02</v>
      </c>
    </row>
    <row r="74" spans="1:7" x14ac:dyDescent="0.35">
      <c r="A74" t="s">
        <v>146</v>
      </c>
      <c r="B74" t="s">
        <v>147</v>
      </c>
      <c r="C74" t="s">
        <v>9</v>
      </c>
      <c r="D74" t="s">
        <v>10</v>
      </c>
      <c r="E74" t="s">
        <v>11</v>
      </c>
      <c r="F74" t="s">
        <v>12</v>
      </c>
      <c r="G74" s="4">
        <v>-1311.9</v>
      </c>
    </row>
    <row r="75" spans="1:7" x14ac:dyDescent="0.35">
      <c r="A75" t="s">
        <v>148</v>
      </c>
      <c r="B75" t="s">
        <v>149</v>
      </c>
      <c r="C75" t="s">
        <v>9</v>
      </c>
      <c r="D75" t="s">
        <v>10</v>
      </c>
      <c r="E75" t="s">
        <v>11</v>
      </c>
      <c r="F75" t="s">
        <v>12</v>
      </c>
      <c r="G75" s="4">
        <v>-2482.35</v>
      </c>
    </row>
    <row r="76" spans="1:7" x14ac:dyDescent="0.35">
      <c r="A76" t="s">
        <v>150</v>
      </c>
      <c r="B76" t="s">
        <v>151</v>
      </c>
      <c r="C76" t="s">
        <v>9</v>
      </c>
      <c r="D76" t="s">
        <v>10</v>
      </c>
      <c r="E76" t="s">
        <v>11</v>
      </c>
      <c r="F76" t="s">
        <v>12</v>
      </c>
      <c r="G76" s="4">
        <v>1073.8800000000001</v>
      </c>
    </row>
    <row r="77" spans="1:7" x14ac:dyDescent="0.35">
      <c r="A77" t="s">
        <v>152</v>
      </c>
      <c r="B77" t="s">
        <v>153</v>
      </c>
      <c r="C77" t="s">
        <v>9</v>
      </c>
      <c r="D77" t="s">
        <v>10</v>
      </c>
      <c r="E77" t="s">
        <v>11</v>
      </c>
      <c r="F77" t="s">
        <v>12</v>
      </c>
      <c r="G77" s="4">
        <v>-4969.9799999999996</v>
      </c>
    </row>
    <row r="78" spans="1:7" x14ac:dyDescent="0.35">
      <c r="A78" t="s">
        <v>154</v>
      </c>
      <c r="B78" t="s">
        <v>65</v>
      </c>
      <c r="C78" t="s">
        <v>9</v>
      </c>
      <c r="D78" t="s">
        <v>10</v>
      </c>
      <c r="E78" t="s">
        <v>11</v>
      </c>
      <c r="F78" t="s">
        <v>12</v>
      </c>
      <c r="G78" s="4">
        <v>-2066.37</v>
      </c>
    </row>
    <row r="79" spans="1:7" x14ac:dyDescent="0.35">
      <c r="A79" t="s">
        <v>155</v>
      </c>
      <c r="B79" t="s">
        <v>156</v>
      </c>
      <c r="C79" t="s">
        <v>9</v>
      </c>
      <c r="D79" t="s">
        <v>10</v>
      </c>
      <c r="E79" t="s">
        <v>11</v>
      </c>
      <c r="F79" t="s">
        <v>12</v>
      </c>
      <c r="G79" s="4">
        <v>-4507.75</v>
      </c>
    </row>
    <row r="80" spans="1:7" x14ac:dyDescent="0.35">
      <c r="A80" t="s">
        <v>157</v>
      </c>
      <c r="B80" t="s">
        <v>158</v>
      </c>
      <c r="C80" t="s">
        <v>9</v>
      </c>
      <c r="D80" t="s">
        <v>10</v>
      </c>
      <c r="E80" t="s">
        <v>11</v>
      </c>
      <c r="F80" t="s">
        <v>12</v>
      </c>
      <c r="G80" s="4">
        <v>3460.7</v>
      </c>
    </row>
    <row r="81" spans="1:7" x14ac:dyDescent="0.35">
      <c r="A81" t="s">
        <v>159</v>
      </c>
      <c r="B81" t="s">
        <v>160</v>
      </c>
      <c r="C81" t="s">
        <v>9</v>
      </c>
      <c r="D81" t="s">
        <v>10</v>
      </c>
      <c r="E81" t="s">
        <v>11</v>
      </c>
      <c r="F81" t="s">
        <v>12</v>
      </c>
      <c r="G81" s="4">
        <v>-4270.08</v>
      </c>
    </row>
    <row r="82" spans="1:7" x14ac:dyDescent="0.35">
      <c r="A82" t="s">
        <v>161</v>
      </c>
      <c r="B82" t="s">
        <v>162</v>
      </c>
      <c r="C82" t="s">
        <v>9</v>
      </c>
      <c r="D82" t="s">
        <v>10</v>
      </c>
      <c r="E82" t="s">
        <v>11</v>
      </c>
      <c r="F82" t="s">
        <v>12</v>
      </c>
      <c r="G82" s="4">
        <v>-3188.87</v>
      </c>
    </row>
    <row r="83" spans="1:7" x14ac:dyDescent="0.35">
      <c r="A83" t="s">
        <v>163</v>
      </c>
      <c r="B83" t="s">
        <v>164</v>
      </c>
      <c r="C83" t="s">
        <v>9</v>
      </c>
      <c r="D83" t="s">
        <v>10</v>
      </c>
      <c r="E83" t="s">
        <v>11</v>
      </c>
      <c r="F83" t="s">
        <v>12</v>
      </c>
      <c r="G83" s="4">
        <v>1326.42</v>
      </c>
    </row>
    <row r="84" spans="1:7" x14ac:dyDescent="0.35">
      <c r="A84" t="s">
        <v>165</v>
      </c>
      <c r="B84" t="s">
        <v>166</v>
      </c>
      <c r="C84" t="s">
        <v>9</v>
      </c>
      <c r="D84" t="s">
        <v>10</v>
      </c>
      <c r="E84" t="s">
        <v>11</v>
      </c>
      <c r="F84" t="s">
        <v>12</v>
      </c>
      <c r="G84" s="4">
        <v>4345.25</v>
      </c>
    </row>
    <row r="85" spans="1:7" x14ac:dyDescent="0.35">
      <c r="A85" t="s">
        <v>167</v>
      </c>
      <c r="B85" t="s">
        <v>168</v>
      </c>
      <c r="C85" t="s">
        <v>9</v>
      </c>
      <c r="D85" t="s">
        <v>10</v>
      </c>
      <c r="E85" t="s">
        <v>11</v>
      </c>
      <c r="F85" t="s">
        <v>12</v>
      </c>
      <c r="G85" s="4">
        <v>-4285.7299999999996</v>
      </c>
    </row>
    <row r="86" spans="1:7" x14ac:dyDescent="0.35">
      <c r="A86" t="s">
        <v>169</v>
      </c>
      <c r="B86" t="s">
        <v>114</v>
      </c>
      <c r="C86" t="s">
        <v>9</v>
      </c>
      <c r="D86" t="s">
        <v>10</v>
      </c>
      <c r="E86" t="s">
        <v>11</v>
      </c>
      <c r="F86" t="s">
        <v>12</v>
      </c>
      <c r="G86" s="4">
        <v>-1116.17</v>
      </c>
    </row>
    <row r="87" spans="1:7" x14ac:dyDescent="0.35">
      <c r="A87" t="s">
        <v>170</v>
      </c>
      <c r="B87" t="s">
        <v>171</v>
      </c>
      <c r="C87" t="s">
        <v>9</v>
      </c>
      <c r="D87" t="s">
        <v>10</v>
      </c>
      <c r="E87" t="s">
        <v>11</v>
      </c>
      <c r="F87" t="s">
        <v>12</v>
      </c>
      <c r="G87" s="4">
        <v>3896.88</v>
      </c>
    </row>
    <row r="88" spans="1:7" x14ac:dyDescent="0.35">
      <c r="A88" t="s">
        <v>172</v>
      </c>
      <c r="B88" t="s">
        <v>173</v>
      </c>
      <c r="C88" t="s">
        <v>9</v>
      </c>
      <c r="D88" t="s">
        <v>10</v>
      </c>
      <c r="E88" t="s">
        <v>11</v>
      </c>
      <c r="F88" t="s">
        <v>12</v>
      </c>
      <c r="G88" s="4">
        <v>-2126.52</v>
      </c>
    </row>
    <row r="89" spans="1:7" x14ac:dyDescent="0.35">
      <c r="A89" t="s">
        <v>174</v>
      </c>
      <c r="B89" t="s">
        <v>79</v>
      </c>
      <c r="C89" t="s">
        <v>9</v>
      </c>
      <c r="D89" t="s">
        <v>10</v>
      </c>
      <c r="E89" t="s">
        <v>11</v>
      </c>
      <c r="F89" t="s">
        <v>12</v>
      </c>
      <c r="G89" s="4">
        <v>4087.53</v>
      </c>
    </row>
    <row r="90" spans="1:7" x14ac:dyDescent="0.35">
      <c r="A90" t="s">
        <v>175</v>
      </c>
      <c r="B90" t="s">
        <v>176</v>
      </c>
      <c r="C90" t="s">
        <v>9</v>
      </c>
      <c r="D90" t="s">
        <v>10</v>
      </c>
      <c r="E90" t="s">
        <v>11</v>
      </c>
      <c r="F90" t="s">
        <v>12</v>
      </c>
      <c r="G90" s="4">
        <v>-3329.83</v>
      </c>
    </row>
    <row r="91" spans="1:7" x14ac:dyDescent="0.35">
      <c r="A91" t="s">
        <v>177</v>
      </c>
      <c r="B91" t="s">
        <v>178</v>
      </c>
      <c r="C91" t="s">
        <v>9</v>
      </c>
      <c r="D91" t="s">
        <v>10</v>
      </c>
      <c r="E91" t="s">
        <v>11</v>
      </c>
      <c r="F91" t="s">
        <v>12</v>
      </c>
      <c r="G91" s="4">
        <v>4852.57</v>
      </c>
    </row>
    <row r="92" spans="1:7" x14ac:dyDescent="0.35">
      <c r="A92" t="s">
        <v>179</v>
      </c>
      <c r="B92" t="s">
        <v>180</v>
      </c>
      <c r="C92" t="s">
        <v>9</v>
      </c>
      <c r="D92" t="s">
        <v>10</v>
      </c>
      <c r="E92" t="s">
        <v>11</v>
      </c>
      <c r="F92" t="s">
        <v>12</v>
      </c>
      <c r="G92" s="4">
        <v>1108.46</v>
      </c>
    </row>
    <row r="93" spans="1:7" x14ac:dyDescent="0.35">
      <c r="A93" t="s">
        <v>181</v>
      </c>
      <c r="B93" t="s">
        <v>42</v>
      </c>
      <c r="C93" t="s">
        <v>9</v>
      </c>
      <c r="D93" t="s">
        <v>10</v>
      </c>
      <c r="E93" t="s">
        <v>11</v>
      </c>
      <c r="F93" t="s">
        <v>12</v>
      </c>
      <c r="G93" s="4">
        <v>-3837.3</v>
      </c>
    </row>
    <row r="94" spans="1:7" x14ac:dyDescent="0.35">
      <c r="A94" t="s">
        <v>182</v>
      </c>
      <c r="B94" t="s">
        <v>183</v>
      </c>
      <c r="C94" t="s">
        <v>9</v>
      </c>
      <c r="D94" t="s">
        <v>10</v>
      </c>
      <c r="E94" t="s">
        <v>11</v>
      </c>
      <c r="F94" t="s">
        <v>12</v>
      </c>
      <c r="G94" s="4">
        <v>2989.48</v>
      </c>
    </row>
    <row r="95" spans="1:7" x14ac:dyDescent="0.35">
      <c r="A95" t="s">
        <v>184</v>
      </c>
      <c r="B95" t="s">
        <v>185</v>
      </c>
      <c r="C95" t="s">
        <v>9</v>
      </c>
      <c r="D95" t="s">
        <v>10</v>
      </c>
      <c r="E95" t="s">
        <v>11</v>
      </c>
      <c r="F95" t="s">
        <v>12</v>
      </c>
      <c r="G95" s="4">
        <v>1299.52</v>
      </c>
    </row>
    <row r="96" spans="1:7" x14ac:dyDescent="0.35">
      <c r="A96" t="s">
        <v>186</v>
      </c>
      <c r="B96" t="s">
        <v>187</v>
      </c>
      <c r="C96" t="s">
        <v>9</v>
      </c>
      <c r="D96" t="s">
        <v>10</v>
      </c>
      <c r="E96" t="s">
        <v>11</v>
      </c>
      <c r="F96" t="s">
        <v>12</v>
      </c>
      <c r="G96" s="4">
        <v>-2898.7</v>
      </c>
    </row>
    <row r="97" spans="1:7" x14ac:dyDescent="0.35">
      <c r="A97" t="s">
        <v>188</v>
      </c>
      <c r="B97" t="s">
        <v>189</v>
      </c>
      <c r="C97" t="s">
        <v>9</v>
      </c>
      <c r="D97" t="s">
        <v>10</v>
      </c>
      <c r="E97" t="s">
        <v>11</v>
      </c>
      <c r="F97" t="s">
        <v>12</v>
      </c>
      <c r="G97" s="4">
        <v>-4339.3100000000004</v>
      </c>
    </row>
    <row r="98" spans="1:7" x14ac:dyDescent="0.35">
      <c r="A98" t="s">
        <v>190</v>
      </c>
      <c r="B98" t="s">
        <v>191</v>
      </c>
      <c r="C98" t="s">
        <v>9</v>
      </c>
      <c r="D98" t="s">
        <v>10</v>
      </c>
      <c r="E98" t="s">
        <v>11</v>
      </c>
      <c r="F98" t="s">
        <v>12</v>
      </c>
      <c r="G98" s="4">
        <v>1521.97</v>
      </c>
    </row>
    <row r="99" spans="1:7" x14ac:dyDescent="0.35">
      <c r="A99" t="s">
        <v>192</v>
      </c>
      <c r="B99" t="s">
        <v>193</v>
      </c>
      <c r="C99" t="s">
        <v>9</v>
      </c>
      <c r="D99" t="s">
        <v>10</v>
      </c>
      <c r="E99" t="s">
        <v>11</v>
      </c>
      <c r="F99" t="s">
        <v>12</v>
      </c>
      <c r="G99" s="4">
        <v>-1557.7</v>
      </c>
    </row>
    <row r="100" spans="1:7" x14ac:dyDescent="0.35">
      <c r="A100" t="s">
        <v>194</v>
      </c>
      <c r="B100" t="s">
        <v>195</v>
      </c>
      <c r="C100" t="s">
        <v>9</v>
      </c>
      <c r="D100" t="s">
        <v>10</v>
      </c>
      <c r="E100" t="s">
        <v>11</v>
      </c>
      <c r="F100" t="s">
        <v>12</v>
      </c>
      <c r="G100" s="4">
        <v>4998.17</v>
      </c>
    </row>
    <row r="101" spans="1:7" x14ac:dyDescent="0.35">
      <c r="A101" t="s">
        <v>196</v>
      </c>
      <c r="B101" t="s">
        <v>42</v>
      </c>
      <c r="C101" t="s">
        <v>9</v>
      </c>
      <c r="D101" t="s">
        <v>10</v>
      </c>
      <c r="E101" t="s">
        <v>11</v>
      </c>
      <c r="F101" t="s">
        <v>12</v>
      </c>
      <c r="G101" s="4">
        <v>3622.7</v>
      </c>
    </row>
    <row r="102" spans="1:7" x14ac:dyDescent="0.35">
      <c r="A102" t="s">
        <v>197</v>
      </c>
      <c r="B102" t="s">
        <v>198</v>
      </c>
      <c r="C102" t="s">
        <v>9</v>
      </c>
      <c r="D102" t="s">
        <v>10</v>
      </c>
      <c r="E102" t="s">
        <v>11</v>
      </c>
      <c r="F102" t="s">
        <v>12</v>
      </c>
      <c r="G102" s="4">
        <v>-1895.03</v>
      </c>
    </row>
    <row r="103" spans="1:7" x14ac:dyDescent="0.35">
      <c r="A103" t="s">
        <v>199</v>
      </c>
      <c r="B103" t="s">
        <v>200</v>
      </c>
      <c r="C103" t="s">
        <v>9</v>
      </c>
      <c r="D103" t="s">
        <v>10</v>
      </c>
      <c r="E103" t="s">
        <v>11</v>
      </c>
      <c r="F103" t="s">
        <v>12</v>
      </c>
      <c r="G103" s="4">
        <v>1171.55</v>
      </c>
    </row>
    <row r="104" spans="1:7" x14ac:dyDescent="0.35">
      <c r="A104" t="s">
        <v>201</v>
      </c>
      <c r="B104" t="s">
        <v>202</v>
      </c>
      <c r="C104" t="s">
        <v>9</v>
      </c>
      <c r="D104" t="s">
        <v>10</v>
      </c>
      <c r="E104" t="s">
        <v>11</v>
      </c>
      <c r="F104" t="s">
        <v>12</v>
      </c>
      <c r="G104" s="4">
        <v>3880.83</v>
      </c>
    </row>
    <row r="105" spans="1:7" x14ac:dyDescent="0.35">
      <c r="A105" t="s">
        <v>203</v>
      </c>
      <c r="B105" t="s">
        <v>189</v>
      </c>
      <c r="C105" t="s">
        <v>9</v>
      </c>
      <c r="D105" t="s">
        <v>10</v>
      </c>
      <c r="E105" t="s">
        <v>11</v>
      </c>
      <c r="F105" t="s">
        <v>12</v>
      </c>
      <c r="G105" s="4">
        <v>2727.93</v>
      </c>
    </row>
    <row r="106" spans="1:7" x14ac:dyDescent="0.35">
      <c r="A106" t="s">
        <v>204</v>
      </c>
      <c r="B106" t="s">
        <v>205</v>
      </c>
      <c r="C106" t="s">
        <v>9</v>
      </c>
      <c r="D106" t="s">
        <v>10</v>
      </c>
      <c r="E106" t="s">
        <v>11</v>
      </c>
      <c r="F106" t="s">
        <v>12</v>
      </c>
      <c r="G106" s="4">
        <v>-1367.12</v>
      </c>
    </row>
    <row r="107" spans="1:7" x14ac:dyDescent="0.35">
      <c r="A107" t="s">
        <v>206</v>
      </c>
      <c r="B107" t="s">
        <v>207</v>
      </c>
      <c r="C107" t="s">
        <v>9</v>
      </c>
      <c r="D107" t="s">
        <v>10</v>
      </c>
      <c r="E107" t="s">
        <v>11</v>
      </c>
      <c r="F107" t="s">
        <v>12</v>
      </c>
      <c r="G107" s="4">
        <v>1904.55</v>
      </c>
    </row>
    <row r="108" spans="1:7" x14ac:dyDescent="0.35">
      <c r="A108" t="s">
        <v>208</v>
      </c>
      <c r="B108" t="s">
        <v>209</v>
      </c>
      <c r="C108" t="s">
        <v>9</v>
      </c>
      <c r="D108" t="s">
        <v>10</v>
      </c>
      <c r="E108" t="s">
        <v>11</v>
      </c>
      <c r="F108" t="s">
        <v>12</v>
      </c>
      <c r="G108" s="4">
        <v>2346.87</v>
      </c>
    </row>
    <row r="109" spans="1:7" x14ac:dyDescent="0.35">
      <c r="A109" t="s">
        <v>210</v>
      </c>
      <c r="B109" t="s">
        <v>211</v>
      </c>
      <c r="C109" t="s">
        <v>9</v>
      </c>
      <c r="D109" t="s">
        <v>10</v>
      </c>
      <c r="E109" t="s">
        <v>11</v>
      </c>
      <c r="F109" t="s">
        <v>12</v>
      </c>
      <c r="G109" s="4">
        <v>-1886.39</v>
      </c>
    </row>
    <row r="110" spans="1:7" x14ac:dyDescent="0.35">
      <c r="A110" t="s">
        <v>212</v>
      </c>
      <c r="B110" t="s">
        <v>213</v>
      </c>
      <c r="C110" t="s">
        <v>9</v>
      </c>
      <c r="D110" t="s">
        <v>10</v>
      </c>
      <c r="E110" t="s">
        <v>11</v>
      </c>
      <c r="F110" t="s">
        <v>12</v>
      </c>
      <c r="G110" s="4">
        <v>-3965.15</v>
      </c>
    </row>
    <row r="111" spans="1:7" x14ac:dyDescent="0.35">
      <c r="A111" t="s">
        <v>214</v>
      </c>
      <c r="B111" t="s">
        <v>22</v>
      </c>
      <c r="C111" t="s">
        <v>9</v>
      </c>
      <c r="D111" t="s">
        <v>10</v>
      </c>
      <c r="E111" t="s">
        <v>11</v>
      </c>
      <c r="F111" t="s">
        <v>12</v>
      </c>
      <c r="G111" s="4">
        <v>-1896.96</v>
      </c>
    </row>
    <row r="112" spans="1:7" x14ac:dyDescent="0.35">
      <c r="A112" t="s">
        <v>215</v>
      </c>
      <c r="B112" t="s">
        <v>83</v>
      </c>
      <c r="C112" t="s">
        <v>9</v>
      </c>
      <c r="D112" t="s">
        <v>10</v>
      </c>
      <c r="E112" t="s">
        <v>11</v>
      </c>
      <c r="F112" t="s">
        <v>12</v>
      </c>
      <c r="G112" s="4">
        <v>1845.99</v>
      </c>
    </row>
    <row r="113" spans="1:7" x14ac:dyDescent="0.35">
      <c r="A113" t="s">
        <v>216</v>
      </c>
      <c r="B113" t="s">
        <v>217</v>
      </c>
      <c r="C113" t="s">
        <v>9</v>
      </c>
      <c r="D113" t="s">
        <v>10</v>
      </c>
      <c r="E113" t="s">
        <v>11</v>
      </c>
      <c r="F113" t="s">
        <v>12</v>
      </c>
      <c r="G113" s="4">
        <v>-4193.12</v>
      </c>
    </row>
    <row r="114" spans="1:7" x14ac:dyDescent="0.35">
      <c r="A114" t="s">
        <v>218</v>
      </c>
      <c r="B114" t="s">
        <v>219</v>
      </c>
      <c r="C114" t="s">
        <v>9</v>
      </c>
      <c r="D114" t="s">
        <v>10</v>
      </c>
      <c r="E114" t="s">
        <v>11</v>
      </c>
      <c r="F114" t="s">
        <v>12</v>
      </c>
      <c r="G114" s="4">
        <v>4110.47</v>
      </c>
    </row>
    <row r="115" spans="1:7" x14ac:dyDescent="0.35">
      <c r="A115" t="s">
        <v>220</v>
      </c>
      <c r="B115" t="s">
        <v>221</v>
      </c>
      <c r="C115" t="s">
        <v>9</v>
      </c>
      <c r="D115" t="s">
        <v>10</v>
      </c>
      <c r="E115" t="s">
        <v>11</v>
      </c>
      <c r="F115" t="s">
        <v>12</v>
      </c>
      <c r="G115" s="4">
        <v>-1669.04</v>
      </c>
    </row>
    <row r="116" spans="1:7" x14ac:dyDescent="0.35">
      <c r="A116" t="s">
        <v>222</v>
      </c>
      <c r="B116" t="s">
        <v>223</v>
      </c>
      <c r="C116" t="s">
        <v>9</v>
      </c>
      <c r="D116" t="s">
        <v>10</v>
      </c>
      <c r="E116" t="s">
        <v>11</v>
      </c>
      <c r="F116" t="s">
        <v>12</v>
      </c>
      <c r="G116" s="4">
        <v>2232.8000000000002</v>
      </c>
    </row>
    <row r="117" spans="1:7" x14ac:dyDescent="0.35">
      <c r="A117" t="s">
        <v>224</v>
      </c>
      <c r="B117" t="s">
        <v>225</v>
      </c>
      <c r="C117" t="s">
        <v>9</v>
      </c>
      <c r="D117" t="s">
        <v>10</v>
      </c>
      <c r="E117" t="s">
        <v>11</v>
      </c>
      <c r="F117" t="s">
        <v>12</v>
      </c>
      <c r="G117" s="4">
        <v>2310.2600000000002</v>
      </c>
    </row>
    <row r="118" spans="1:7" x14ac:dyDescent="0.35">
      <c r="A118" t="s">
        <v>226</v>
      </c>
      <c r="B118" t="s">
        <v>227</v>
      </c>
      <c r="C118" t="s">
        <v>9</v>
      </c>
      <c r="D118" t="s">
        <v>10</v>
      </c>
      <c r="E118" t="s">
        <v>11</v>
      </c>
      <c r="F118" t="s">
        <v>12</v>
      </c>
      <c r="G118" s="4">
        <v>-3730.33</v>
      </c>
    </row>
    <row r="119" spans="1:7" x14ac:dyDescent="0.35">
      <c r="A119" t="s">
        <v>228</v>
      </c>
      <c r="B119" t="s">
        <v>77</v>
      </c>
      <c r="C119" t="s">
        <v>9</v>
      </c>
      <c r="D119" t="s">
        <v>10</v>
      </c>
      <c r="E119" t="s">
        <v>11</v>
      </c>
      <c r="F119" t="s">
        <v>12</v>
      </c>
      <c r="G119" s="4">
        <v>-1494.36</v>
      </c>
    </row>
    <row r="120" spans="1:7" x14ac:dyDescent="0.35">
      <c r="A120" t="s">
        <v>229</v>
      </c>
      <c r="B120" t="s">
        <v>230</v>
      </c>
      <c r="C120" t="s">
        <v>9</v>
      </c>
      <c r="D120" t="s">
        <v>10</v>
      </c>
      <c r="E120" t="s">
        <v>11</v>
      </c>
      <c r="F120" t="s">
        <v>12</v>
      </c>
      <c r="G120" s="4">
        <v>2612.08</v>
      </c>
    </row>
    <row r="121" spans="1:7" x14ac:dyDescent="0.35">
      <c r="A121" t="s">
        <v>231</v>
      </c>
      <c r="B121" t="s">
        <v>178</v>
      </c>
      <c r="C121" t="s">
        <v>9</v>
      </c>
      <c r="D121" t="s">
        <v>10</v>
      </c>
      <c r="E121" t="s">
        <v>11</v>
      </c>
      <c r="F121" t="s">
        <v>12</v>
      </c>
      <c r="G121" s="4">
        <v>2105.02</v>
      </c>
    </row>
    <row r="122" spans="1:7" x14ac:dyDescent="0.35">
      <c r="A122" t="s">
        <v>232</v>
      </c>
      <c r="B122" t="s">
        <v>233</v>
      </c>
      <c r="C122" t="s">
        <v>9</v>
      </c>
      <c r="D122" t="s">
        <v>10</v>
      </c>
      <c r="E122" t="s">
        <v>11</v>
      </c>
      <c r="F122" t="s">
        <v>12</v>
      </c>
      <c r="G122" s="4">
        <v>2517.0300000000002</v>
      </c>
    </row>
    <row r="123" spans="1:7" x14ac:dyDescent="0.35">
      <c r="A123" t="s">
        <v>234</v>
      </c>
      <c r="B123" t="s">
        <v>219</v>
      </c>
      <c r="C123" t="s">
        <v>9</v>
      </c>
      <c r="D123" t="s">
        <v>10</v>
      </c>
      <c r="E123" t="s">
        <v>11</v>
      </c>
      <c r="F123" t="s">
        <v>12</v>
      </c>
      <c r="G123" s="4">
        <v>-3740.89</v>
      </c>
    </row>
    <row r="124" spans="1:7" x14ac:dyDescent="0.35">
      <c r="A124" t="s">
        <v>235</v>
      </c>
      <c r="B124" t="s">
        <v>191</v>
      </c>
      <c r="C124" t="s">
        <v>9</v>
      </c>
      <c r="D124" t="s">
        <v>10</v>
      </c>
      <c r="E124" t="s">
        <v>11</v>
      </c>
      <c r="F124" t="s">
        <v>12</v>
      </c>
      <c r="G124" s="4">
        <v>-1095.68</v>
      </c>
    </row>
    <row r="125" spans="1:7" x14ac:dyDescent="0.35">
      <c r="A125" t="s">
        <v>236</v>
      </c>
      <c r="B125" t="s">
        <v>237</v>
      </c>
      <c r="C125" t="s">
        <v>9</v>
      </c>
      <c r="D125" t="s">
        <v>10</v>
      </c>
      <c r="E125" t="s">
        <v>11</v>
      </c>
      <c r="F125" t="s">
        <v>12</v>
      </c>
      <c r="G125" s="4">
        <v>-4900.04</v>
      </c>
    </row>
    <row r="126" spans="1:7" x14ac:dyDescent="0.35">
      <c r="A126" t="s">
        <v>238</v>
      </c>
      <c r="B126" t="s">
        <v>239</v>
      </c>
      <c r="C126" t="s">
        <v>9</v>
      </c>
      <c r="D126" t="s">
        <v>10</v>
      </c>
      <c r="E126" t="s">
        <v>11</v>
      </c>
      <c r="F126" t="s">
        <v>12</v>
      </c>
      <c r="G126" s="4">
        <v>2025.34</v>
      </c>
    </row>
    <row r="127" spans="1:7" x14ac:dyDescent="0.35">
      <c r="A127" t="s">
        <v>240</v>
      </c>
      <c r="B127" t="s">
        <v>241</v>
      </c>
      <c r="C127" t="s">
        <v>9</v>
      </c>
      <c r="D127" t="s">
        <v>10</v>
      </c>
      <c r="E127" t="s">
        <v>11</v>
      </c>
      <c r="F127" t="s">
        <v>12</v>
      </c>
      <c r="G127" s="4">
        <v>-4726.7299999999996</v>
      </c>
    </row>
    <row r="128" spans="1:7" x14ac:dyDescent="0.35">
      <c r="A128" t="s">
        <v>242</v>
      </c>
      <c r="B128" t="s">
        <v>241</v>
      </c>
      <c r="C128" t="s">
        <v>9</v>
      </c>
      <c r="D128" t="s">
        <v>10</v>
      </c>
      <c r="E128" t="s">
        <v>11</v>
      </c>
      <c r="F128" t="s">
        <v>12</v>
      </c>
      <c r="G128" s="4">
        <v>1286.68</v>
      </c>
    </row>
    <row r="129" spans="1:7" x14ac:dyDescent="0.35">
      <c r="A129" t="s">
        <v>243</v>
      </c>
      <c r="B129" t="s">
        <v>244</v>
      </c>
      <c r="C129" t="s">
        <v>9</v>
      </c>
      <c r="D129" t="s">
        <v>10</v>
      </c>
      <c r="E129" t="s">
        <v>11</v>
      </c>
      <c r="F129" t="s">
        <v>12</v>
      </c>
      <c r="G129" s="4">
        <v>1408.29</v>
      </c>
    </row>
    <row r="130" spans="1:7" x14ac:dyDescent="0.35">
      <c r="A130" t="s">
        <v>245</v>
      </c>
      <c r="B130" t="s">
        <v>246</v>
      </c>
      <c r="C130" t="s">
        <v>9</v>
      </c>
      <c r="D130" t="s">
        <v>10</v>
      </c>
      <c r="E130" t="s">
        <v>11</v>
      </c>
      <c r="F130" t="s">
        <v>12</v>
      </c>
      <c r="G130" s="4">
        <v>-4972.9399999999996</v>
      </c>
    </row>
    <row r="131" spans="1:7" x14ac:dyDescent="0.35">
      <c r="A131" t="s">
        <v>247</v>
      </c>
      <c r="B131" t="s">
        <v>26</v>
      </c>
      <c r="C131" t="s">
        <v>9</v>
      </c>
      <c r="D131" t="s">
        <v>10</v>
      </c>
      <c r="E131" t="s">
        <v>11</v>
      </c>
      <c r="F131" t="s">
        <v>12</v>
      </c>
      <c r="G131" s="4">
        <v>-4052.32</v>
      </c>
    </row>
    <row r="132" spans="1:7" x14ac:dyDescent="0.35">
      <c r="A132" t="s">
        <v>248</v>
      </c>
      <c r="B132" t="s">
        <v>249</v>
      </c>
      <c r="C132" t="s">
        <v>9</v>
      </c>
      <c r="D132" t="s">
        <v>10</v>
      </c>
      <c r="E132" t="s">
        <v>11</v>
      </c>
      <c r="F132" t="s">
        <v>12</v>
      </c>
      <c r="G132" s="4">
        <v>-2322.3200000000002</v>
      </c>
    </row>
    <row r="133" spans="1:7" x14ac:dyDescent="0.35">
      <c r="A133" t="s">
        <v>250</v>
      </c>
      <c r="B133" t="s">
        <v>251</v>
      </c>
      <c r="C133" t="s">
        <v>9</v>
      </c>
      <c r="D133" t="s">
        <v>10</v>
      </c>
      <c r="E133" t="s">
        <v>11</v>
      </c>
      <c r="F133" t="s">
        <v>12</v>
      </c>
      <c r="G133" s="4">
        <v>-2528.5</v>
      </c>
    </row>
    <row r="134" spans="1:7" x14ac:dyDescent="0.35">
      <c r="A134" t="s">
        <v>252</v>
      </c>
      <c r="B134" t="s">
        <v>75</v>
      </c>
      <c r="C134" t="s">
        <v>9</v>
      </c>
      <c r="D134" t="s">
        <v>10</v>
      </c>
      <c r="E134" t="s">
        <v>11</v>
      </c>
      <c r="F134" t="s">
        <v>12</v>
      </c>
      <c r="G134" s="4">
        <v>-3517.07</v>
      </c>
    </row>
    <row r="135" spans="1:7" x14ac:dyDescent="0.35">
      <c r="A135" t="s">
        <v>253</v>
      </c>
      <c r="B135" t="s">
        <v>254</v>
      </c>
      <c r="C135" t="s">
        <v>9</v>
      </c>
      <c r="D135" t="s">
        <v>10</v>
      </c>
      <c r="E135" t="s">
        <v>11</v>
      </c>
      <c r="F135" t="s">
        <v>12</v>
      </c>
      <c r="G135" s="4">
        <v>-3230</v>
      </c>
    </row>
    <row r="136" spans="1:7" x14ac:dyDescent="0.35">
      <c r="A136" t="s">
        <v>255</v>
      </c>
      <c r="B136" t="s">
        <v>153</v>
      </c>
      <c r="C136" t="s">
        <v>9</v>
      </c>
      <c r="D136" t="s">
        <v>10</v>
      </c>
      <c r="E136" t="s">
        <v>11</v>
      </c>
      <c r="F136" t="s">
        <v>12</v>
      </c>
      <c r="G136" s="4">
        <v>-1767.43</v>
      </c>
    </row>
    <row r="137" spans="1:7" x14ac:dyDescent="0.35">
      <c r="A137" t="s">
        <v>256</v>
      </c>
      <c r="B137" t="s">
        <v>257</v>
      </c>
      <c r="C137" t="s">
        <v>9</v>
      </c>
      <c r="D137" t="s">
        <v>10</v>
      </c>
      <c r="E137" t="s">
        <v>11</v>
      </c>
      <c r="F137" t="s">
        <v>12</v>
      </c>
      <c r="G137" s="4">
        <v>3723.68</v>
      </c>
    </row>
    <row r="138" spans="1:7" x14ac:dyDescent="0.35">
      <c r="A138" t="s">
        <v>258</v>
      </c>
      <c r="B138" t="s">
        <v>259</v>
      </c>
      <c r="C138" t="s">
        <v>9</v>
      </c>
      <c r="D138" t="s">
        <v>10</v>
      </c>
      <c r="E138" t="s">
        <v>11</v>
      </c>
      <c r="F138" t="s">
        <v>12</v>
      </c>
      <c r="G138" s="4">
        <v>3016.59</v>
      </c>
    </row>
    <row r="139" spans="1:7" x14ac:dyDescent="0.35">
      <c r="A139" t="s">
        <v>260</v>
      </c>
      <c r="B139" t="s">
        <v>261</v>
      </c>
      <c r="C139" t="s">
        <v>9</v>
      </c>
      <c r="D139" t="s">
        <v>10</v>
      </c>
      <c r="E139" t="s">
        <v>11</v>
      </c>
      <c r="F139" t="s">
        <v>12</v>
      </c>
      <c r="G139" s="4">
        <v>4690.66</v>
      </c>
    </row>
    <row r="140" spans="1:7" x14ac:dyDescent="0.35">
      <c r="A140" t="s">
        <v>262</v>
      </c>
      <c r="B140" t="s">
        <v>246</v>
      </c>
      <c r="C140" t="s">
        <v>9</v>
      </c>
      <c r="D140" t="s">
        <v>10</v>
      </c>
      <c r="E140" t="s">
        <v>11</v>
      </c>
      <c r="F140" t="s">
        <v>12</v>
      </c>
      <c r="G140" s="4">
        <v>1425.8</v>
      </c>
    </row>
    <row r="141" spans="1:7" x14ac:dyDescent="0.35">
      <c r="A141" t="s">
        <v>263</v>
      </c>
      <c r="B141" t="s">
        <v>264</v>
      </c>
      <c r="C141" t="s">
        <v>9</v>
      </c>
      <c r="D141" t="s">
        <v>10</v>
      </c>
      <c r="E141" t="s">
        <v>11</v>
      </c>
      <c r="F141" t="s">
        <v>12</v>
      </c>
      <c r="G141" s="4">
        <v>1050.81</v>
      </c>
    </row>
    <row r="142" spans="1:7" x14ac:dyDescent="0.35">
      <c r="A142" t="s">
        <v>265</v>
      </c>
      <c r="B142" t="s">
        <v>266</v>
      </c>
      <c r="C142" t="s">
        <v>9</v>
      </c>
      <c r="D142" t="s">
        <v>10</v>
      </c>
      <c r="E142" t="s">
        <v>11</v>
      </c>
      <c r="F142" t="s">
        <v>12</v>
      </c>
      <c r="G142" s="4">
        <v>1709.5</v>
      </c>
    </row>
    <row r="143" spans="1:7" x14ac:dyDescent="0.35">
      <c r="A143" t="s">
        <v>267</v>
      </c>
      <c r="B143" t="s">
        <v>268</v>
      </c>
      <c r="C143" t="s">
        <v>9</v>
      </c>
      <c r="D143" t="s">
        <v>10</v>
      </c>
      <c r="E143" t="s">
        <v>11</v>
      </c>
      <c r="F143" t="s">
        <v>12</v>
      </c>
      <c r="G143" s="4">
        <v>4509.46</v>
      </c>
    </row>
    <row r="144" spans="1:7" x14ac:dyDescent="0.35">
      <c r="A144" t="s">
        <v>269</v>
      </c>
      <c r="B144" t="s">
        <v>270</v>
      </c>
      <c r="C144" t="s">
        <v>9</v>
      </c>
      <c r="D144" t="s">
        <v>10</v>
      </c>
      <c r="E144" t="s">
        <v>11</v>
      </c>
      <c r="F144" t="s">
        <v>12</v>
      </c>
      <c r="G144" s="4">
        <v>-1026.99</v>
      </c>
    </row>
    <row r="145" spans="1:7" x14ac:dyDescent="0.35">
      <c r="A145" t="s">
        <v>271</v>
      </c>
      <c r="B145" t="s">
        <v>87</v>
      </c>
      <c r="C145" t="s">
        <v>9</v>
      </c>
      <c r="D145" t="s">
        <v>10</v>
      </c>
      <c r="E145" t="s">
        <v>11</v>
      </c>
      <c r="F145" t="s">
        <v>12</v>
      </c>
      <c r="G145" s="4">
        <v>-1912.51</v>
      </c>
    </row>
    <row r="146" spans="1:7" x14ac:dyDescent="0.35">
      <c r="A146" t="s">
        <v>272</v>
      </c>
      <c r="B146" t="s">
        <v>273</v>
      </c>
      <c r="C146" t="s">
        <v>9</v>
      </c>
      <c r="D146" t="s">
        <v>10</v>
      </c>
      <c r="E146" t="s">
        <v>11</v>
      </c>
      <c r="F146" t="s">
        <v>12</v>
      </c>
      <c r="G146" s="4">
        <v>4295.7</v>
      </c>
    </row>
    <row r="147" spans="1:7" x14ac:dyDescent="0.35">
      <c r="A147" t="s">
        <v>274</v>
      </c>
      <c r="B147" t="s">
        <v>275</v>
      </c>
      <c r="C147" t="s">
        <v>9</v>
      </c>
      <c r="D147" t="s">
        <v>10</v>
      </c>
      <c r="E147" t="s">
        <v>11</v>
      </c>
      <c r="F147" t="s">
        <v>12</v>
      </c>
      <c r="G147" s="4">
        <v>1078.28</v>
      </c>
    </row>
    <row r="148" spans="1:7" x14ac:dyDescent="0.35">
      <c r="A148" t="s">
        <v>276</v>
      </c>
      <c r="B148" t="s">
        <v>277</v>
      </c>
      <c r="C148" t="s">
        <v>9</v>
      </c>
      <c r="D148" t="s">
        <v>10</v>
      </c>
      <c r="E148" t="s">
        <v>11</v>
      </c>
      <c r="F148" t="s">
        <v>12</v>
      </c>
      <c r="G148" s="4">
        <v>4125.57</v>
      </c>
    </row>
    <row r="149" spans="1:7" x14ac:dyDescent="0.35">
      <c r="A149" t="s">
        <v>278</v>
      </c>
      <c r="B149" t="s">
        <v>279</v>
      </c>
      <c r="C149" t="s">
        <v>9</v>
      </c>
      <c r="D149" t="s">
        <v>10</v>
      </c>
      <c r="E149" t="s">
        <v>11</v>
      </c>
      <c r="F149" t="s">
        <v>12</v>
      </c>
      <c r="G149" s="4">
        <v>1484.3</v>
      </c>
    </row>
    <row r="150" spans="1:7" x14ac:dyDescent="0.35">
      <c r="A150" t="s">
        <v>280</v>
      </c>
      <c r="B150" t="s">
        <v>281</v>
      </c>
      <c r="C150" t="s">
        <v>9</v>
      </c>
      <c r="D150" t="s">
        <v>10</v>
      </c>
      <c r="E150" t="s">
        <v>11</v>
      </c>
      <c r="F150" t="s">
        <v>12</v>
      </c>
      <c r="G150" s="4">
        <v>-2422.71</v>
      </c>
    </row>
    <row r="151" spans="1:7" x14ac:dyDescent="0.35">
      <c r="A151" t="s">
        <v>282</v>
      </c>
      <c r="B151" t="s">
        <v>44</v>
      </c>
      <c r="C151" t="s">
        <v>9</v>
      </c>
      <c r="D151" t="s">
        <v>10</v>
      </c>
      <c r="E151" t="s">
        <v>11</v>
      </c>
      <c r="F151" t="s">
        <v>12</v>
      </c>
      <c r="G151" s="4">
        <v>1813.26</v>
      </c>
    </row>
    <row r="152" spans="1:7" x14ac:dyDescent="0.35">
      <c r="A152" t="s">
        <v>283</v>
      </c>
      <c r="B152" t="s">
        <v>284</v>
      </c>
      <c r="C152" t="s">
        <v>9</v>
      </c>
      <c r="D152" t="s">
        <v>10</v>
      </c>
      <c r="E152" t="s">
        <v>11</v>
      </c>
      <c r="F152" t="s">
        <v>12</v>
      </c>
      <c r="G152" s="4">
        <v>-3131.93</v>
      </c>
    </row>
    <row r="153" spans="1:7" x14ac:dyDescent="0.35">
      <c r="A153" t="s">
        <v>285</v>
      </c>
      <c r="B153" t="s">
        <v>286</v>
      </c>
      <c r="C153" t="s">
        <v>9</v>
      </c>
      <c r="D153" t="s">
        <v>10</v>
      </c>
      <c r="E153" t="s">
        <v>11</v>
      </c>
      <c r="F153" t="s">
        <v>12</v>
      </c>
      <c r="G153" s="4">
        <v>3174.98</v>
      </c>
    </row>
    <row r="154" spans="1:7" x14ac:dyDescent="0.35">
      <c r="A154" t="s">
        <v>287</v>
      </c>
      <c r="B154" t="s">
        <v>288</v>
      </c>
      <c r="C154" t="s">
        <v>9</v>
      </c>
      <c r="D154" t="s">
        <v>10</v>
      </c>
      <c r="E154" t="s">
        <v>11</v>
      </c>
      <c r="F154" t="s">
        <v>12</v>
      </c>
      <c r="G154" s="4">
        <v>2544.21</v>
      </c>
    </row>
    <row r="155" spans="1:7" x14ac:dyDescent="0.35">
      <c r="A155" t="s">
        <v>289</v>
      </c>
      <c r="B155" t="s">
        <v>219</v>
      </c>
      <c r="C155" t="s">
        <v>9</v>
      </c>
      <c r="D155" t="s">
        <v>10</v>
      </c>
      <c r="E155" t="s">
        <v>11</v>
      </c>
      <c r="F155" t="s">
        <v>12</v>
      </c>
      <c r="G155" s="4">
        <v>-1182.58</v>
      </c>
    </row>
    <row r="156" spans="1:7" x14ac:dyDescent="0.35">
      <c r="A156" t="s">
        <v>290</v>
      </c>
      <c r="B156" t="s">
        <v>291</v>
      </c>
      <c r="C156" t="s">
        <v>9</v>
      </c>
      <c r="D156" t="s">
        <v>10</v>
      </c>
      <c r="E156" t="s">
        <v>11</v>
      </c>
      <c r="F156" t="s">
        <v>12</v>
      </c>
      <c r="G156" s="4">
        <v>-2086.52</v>
      </c>
    </row>
    <row r="157" spans="1:7" x14ac:dyDescent="0.35">
      <c r="A157" t="s">
        <v>292</v>
      </c>
      <c r="B157" t="s">
        <v>51</v>
      </c>
      <c r="C157" t="s">
        <v>9</v>
      </c>
      <c r="D157" t="s">
        <v>10</v>
      </c>
      <c r="E157" t="s">
        <v>11</v>
      </c>
      <c r="F157" t="s">
        <v>12</v>
      </c>
      <c r="G157" s="4">
        <v>-4325.66</v>
      </c>
    </row>
    <row r="158" spans="1:7" x14ac:dyDescent="0.35">
      <c r="A158" t="s">
        <v>293</v>
      </c>
      <c r="B158" t="s">
        <v>294</v>
      </c>
      <c r="C158" t="s">
        <v>9</v>
      </c>
      <c r="D158" t="s">
        <v>10</v>
      </c>
      <c r="E158" t="s">
        <v>11</v>
      </c>
      <c r="F158" t="s">
        <v>12</v>
      </c>
      <c r="G158" s="4">
        <v>-2461.96</v>
      </c>
    </row>
    <row r="159" spans="1:7" x14ac:dyDescent="0.35">
      <c r="A159" t="s">
        <v>295</v>
      </c>
      <c r="B159" t="s">
        <v>162</v>
      </c>
      <c r="C159" t="s">
        <v>9</v>
      </c>
      <c r="D159" t="s">
        <v>10</v>
      </c>
      <c r="E159" t="s">
        <v>11</v>
      </c>
      <c r="F159" t="s">
        <v>12</v>
      </c>
      <c r="G159" s="4">
        <v>-4553.8500000000004</v>
      </c>
    </row>
    <row r="160" spans="1:7" x14ac:dyDescent="0.35">
      <c r="A160" t="s">
        <v>296</v>
      </c>
      <c r="B160" t="s">
        <v>297</v>
      </c>
      <c r="C160" t="s">
        <v>9</v>
      </c>
      <c r="D160" t="s">
        <v>10</v>
      </c>
      <c r="E160" t="s">
        <v>11</v>
      </c>
      <c r="F160" t="s">
        <v>12</v>
      </c>
      <c r="G160" s="4">
        <v>-2145.5700000000002</v>
      </c>
    </row>
    <row r="161" spans="1:7" x14ac:dyDescent="0.35">
      <c r="A161" t="s">
        <v>298</v>
      </c>
      <c r="B161" t="s">
        <v>299</v>
      </c>
      <c r="C161" t="s">
        <v>9</v>
      </c>
      <c r="D161" t="s">
        <v>10</v>
      </c>
      <c r="E161" t="s">
        <v>11</v>
      </c>
      <c r="F161" t="s">
        <v>12</v>
      </c>
      <c r="G161" s="4">
        <v>-1919.54</v>
      </c>
    </row>
    <row r="162" spans="1:7" x14ac:dyDescent="0.35">
      <c r="A162" t="s">
        <v>300</v>
      </c>
      <c r="B162" t="s">
        <v>185</v>
      </c>
      <c r="C162" t="s">
        <v>9</v>
      </c>
      <c r="D162" t="s">
        <v>10</v>
      </c>
      <c r="E162" t="s">
        <v>11</v>
      </c>
      <c r="F162" t="s">
        <v>12</v>
      </c>
      <c r="G162" s="4">
        <v>-4801.09</v>
      </c>
    </row>
    <row r="163" spans="1:7" x14ac:dyDescent="0.35">
      <c r="A163" t="s">
        <v>301</v>
      </c>
      <c r="B163" t="s">
        <v>302</v>
      </c>
      <c r="C163" t="s">
        <v>9</v>
      </c>
      <c r="D163" t="s">
        <v>10</v>
      </c>
      <c r="E163" t="s">
        <v>11</v>
      </c>
      <c r="F163" t="s">
        <v>12</v>
      </c>
      <c r="G163" s="4">
        <v>3417.48</v>
      </c>
    </row>
    <row r="164" spans="1:7" x14ac:dyDescent="0.35">
      <c r="A164" t="s">
        <v>303</v>
      </c>
      <c r="B164" t="s">
        <v>275</v>
      </c>
      <c r="C164" t="s">
        <v>9</v>
      </c>
      <c r="D164" t="s">
        <v>10</v>
      </c>
      <c r="E164" t="s">
        <v>11</v>
      </c>
      <c r="F164" t="s">
        <v>12</v>
      </c>
      <c r="G164" s="4">
        <v>2171.61</v>
      </c>
    </row>
    <row r="165" spans="1:7" x14ac:dyDescent="0.35">
      <c r="A165" t="s">
        <v>304</v>
      </c>
      <c r="B165" t="s">
        <v>34</v>
      </c>
      <c r="C165" t="s">
        <v>9</v>
      </c>
      <c r="D165" t="s">
        <v>10</v>
      </c>
      <c r="E165" t="s">
        <v>11</v>
      </c>
      <c r="F165" t="s">
        <v>12</v>
      </c>
      <c r="G165" s="4">
        <v>1121.81</v>
      </c>
    </row>
    <row r="166" spans="1:7" x14ac:dyDescent="0.35">
      <c r="A166" t="s">
        <v>305</v>
      </c>
      <c r="B166" t="s">
        <v>202</v>
      </c>
      <c r="C166" t="s">
        <v>9</v>
      </c>
      <c r="D166" t="s">
        <v>10</v>
      </c>
      <c r="E166" t="s">
        <v>11</v>
      </c>
      <c r="F166" t="s">
        <v>12</v>
      </c>
      <c r="G166" s="4">
        <v>4020.32</v>
      </c>
    </row>
    <row r="167" spans="1:7" x14ac:dyDescent="0.35">
      <c r="A167" t="s">
        <v>306</v>
      </c>
      <c r="B167" t="s">
        <v>307</v>
      </c>
      <c r="C167" t="s">
        <v>9</v>
      </c>
      <c r="D167" t="s">
        <v>10</v>
      </c>
      <c r="E167" t="s">
        <v>11</v>
      </c>
      <c r="F167" t="s">
        <v>12</v>
      </c>
      <c r="G167" s="4">
        <v>-4936.2</v>
      </c>
    </row>
    <row r="168" spans="1:7" x14ac:dyDescent="0.35">
      <c r="A168" t="s">
        <v>308</v>
      </c>
      <c r="B168" t="s">
        <v>309</v>
      </c>
      <c r="C168" t="s">
        <v>9</v>
      </c>
      <c r="D168" t="s">
        <v>10</v>
      </c>
      <c r="E168" t="s">
        <v>11</v>
      </c>
      <c r="F168" t="s">
        <v>12</v>
      </c>
      <c r="G168" s="4">
        <v>1726.37</v>
      </c>
    </row>
    <row r="169" spans="1:7" x14ac:dyDescent="0.35">
      <c r="A169" t="s">
        <v>310</v>
      </c>
      <c r="B169" t="s">
        <v>311</v>
      </c>
      <c r="C169" t="s">
        <v>9</v>
      </c>
      <c r="D169" t="s">
        <v>10</v>
      </c>
      <c r="E169" t="s">
        <v>11</v>
      </c>
      <c r="F169" t="s">
        <v>12</v>
      </c>
      <c r="G169" s="4">
        <v>1084.79</v>
      </c>
    </row>
    <row r="170" spans="1:7" x14ac:dyDescent="0.35">
      <c r="A170" t="s">
        <v>312</v>
      </c>
      <c r="B170" t="s">
        <v>162</v>
      </c>
      <c r="C170" t="s">
        <v>9</v>
      </c>
      <c r="D170" t="s">
        <v>10</v>
      </c>
      <c r="E170" t="s">
        <v>11</v>
      </c>
      <c r="F170" t="s">
        <v>12</v>
      </c>
      <c r="G170" s="4">
        <v>3401.86</v>
      </c>
    </row>
    <row r="171" spans="1:7" x14ac:dyDescent="0.35">
      <c r="A171" t="s">
        <v>313</v>
      </c>
      <c r="B171" t="s">
        <v>314</v>
      </c>
      <c r="C171" t="s">
        <v>9</v>
      </c>
      <c r="D171" t="s">
        <v>10</v>
      </c>
      <c r="E171" t="s">
        <v>11</v>
      </c>
      <c r="F171" t="s">
        <v>12</v>
      </c>
      <c r="G171" s="4">
        <v>1002.52</v>
      </c>
    </row>
    <row r="172" spans="1:7" x14ac:dyDescent="0.35">
      <c r="A172" t="s">
        <v>315</v>
      </c>
      <c r="B172" t="s">
        <v>316</v>
      </c>
      <c r="C172" t="s">
        <v>9</v>
      </c>
      <c r="D172" t="s">
        <v>10</v>
      </c>
      <c r="E172" t="s">
        <v>11</v>
      </c>
      <c r="F172" t="s">
        <v>12</v>
      </c>
      <c r="G172" s="4">
        <v>-3040.94</v>
      </c>
    </row>
    <row r="173" spans="1:7" x14ac:dyDescent="0.35">
      <c r="A173" t="s">
        <v>317</v>
      </c>
      <c r="B173" t="s">
        <v>164</v>
      </c>
      <c r="C173" t="s">
        <v>9</v>
      </c>
      <c r="D173" t="s">
        <v>10</v>
      </c>
      <c r="E173" t="s">
        <v>11</v>
      </c>
      <c r="F173" t="s">
        <v>12</v>
      </c>
      <c r="G173" s="4">
        <v>3505.82</v>
      </c>
    </row>
    <row r="174" spans="1:7" x14ac:dyDescent="0.35">
      <c r="A174" t="s">
        <v>318</v>
      </c>
      <c r="B174" t="s">
        <v>319</v>
      </c>
      <c r="C174" t="s">
        <v>9</v>
      </c>
      <c r="D174" t="s">
        <v>10</v>
      </c>
      <c r="E174" t="s">
        <v>11</v>
      </c>
      <c r="F174" t="s">
        <v>12</v>
      </c>
      <c r="G174" s="4">
        <v>1268.2</v>
      </c>
    </row>
    <row r="175" spans="1:7" x14ac:dyDescent="0.35">
      <c r="A175" t="s">
        <v>320</v>
      </c>
      <c r="B175" t="s">
        <v>321</v>
      </c>
      <c r="C175" t="s">
        <v>9</v>
      </c>
      <c r="D175" t="s">
        <v>10</v>
      </c>
      <c r="E175" t="s">
        <v>11</v>
      </c>
      <c r="F175" t="s">
        <v>12</v>
      </c>
      <c r="G175" s="4">
        <v>-3570.27</v>
      </c>
    </row>
    <row r="176" spans="1:7" x14ac:dyDescent="0.35">
      <c r="A176" t="s">
        <v>322</v>
      </c>
      <c r="B176" t="s">
        <v>42</v>
      </c>
      <c r="C176" t="s">
        <v>9</v>
      </c>
      <c r="D176" t="s">
        <v>10</v>
      </c>
      <c r="E176" t="s">
        <v>11</v>
      </c>
      <c r="F176" t="s">
        <v>12</v>
      </c>
      <c r="G176" s="4">
        <v>2983.25</v>
      </c>
    </row>
    <row r="177" spans="1:7" x14ac:dyDescent="0.35">
      <c r="A177" t="s">
        <v>323</v>
      </c>
      <c r="B177" t="s">
        <v>324</v>
      </c>
      <c r="C177" t="s">
        <v>9</v>
      </c>
      <c r="D177" t="s">
        <v>10</v>
      </c>
      <c r="E177" t="s">
        <v>11</v>
      </c>
      <c r="F177" t="s">
        <v>12</v>
      </c>
      <c r="G177" s="4">
        <v>3689.18</v>
      </c>
    </row>
    <row r="178" spans="1:7" x14ac:dyDescent="0.35">
      <c r="A178" t="s">
        <v>325</v>
      </c>
      <c r="B178" t="s">
        <v>326</v>
      </c>
      <c r="C178" t="s">
        <v>9</v>
      </c>
      <c r="D178" t="s">
        <v>10</v>
      </c>
      <c r="E178" t="s">
        <v>11</v>
      </c>
      <c r="F178" t="s">
        <v>12</v>
      </c>
      <c r="G178" s="4">
        <v>2997.3</v>
      </c>
    </row>
    <row r="179" spans="1:7" x14ac:dyDescent="0.35">
      <c r="A179" t="s">
        <v>327</v>
      </c>
      <c r="B179" t="s">
        <v>328</v>
      </c>
      <c r="C179" t="s">
        <v>9</v>
      </c>
      <c r="D179" t="s">
        <v>10</v>
      </c>
      <c r="E179" t="s">
        <v>11</v>
      </c>
      <c r="F179" t="s">
        <v>12</v>
      </c>
      <c r="G179" s="4">
        <v>-4007.93</v>
      </c>
    </row>
    <row r="180" spans="1:7" x14ac:dyDescent="0.35">
      <c r="A180" t="s">
        <v>329</v>
      </c>
      <c r="B180" t="s">
        <v>91</v>
      </c>
      <c r="C180" t="s">
        <v>9</v>
      </c>
      <c r="D180" t="s">
        <v>10</v>
      </c>
      <c r="E180" t="s">
        <v>11</v>
      </c>
      <c r="F180" t="s">
        <v>12</v>
      </c>
      <c r="G180" s="4">
        <v>-3086.36</v>
      </c>
    </row>
    <row r="181" spans="1:7" x14ac:dyDescent="0.35">
      <c r="A181" t="s">
        <v>330</v>
      </c>
      <c r="B181" t="s">
        <v>331</v>
      </c>
      <c r="C181" t="s">
        <v>9</v>
      </c>
      <c r="D181" t="s">
        <v>10</v>
      </c>
      <c r="E181" t="s">
        <v>11</v>
      </c>
      <c r="F181" t="s">
        <v>12</v>
      </c>
      <c r="G181" s="4">
        <v>-2842.21</v>
      </c>
    </row>
    <row r="182" spans="1:7" x14ac:dyDescent="0.35">
      <c r="A182" t="s">
        <v>332</v>
      </c>
      <c r="B182" t="s">
        <v>42</v>
      </c>
      <c r="C182" t="s">
        <v>9</v>
      </c>
      <c r="D182" t="s">
        <v>10</v>
      </c>
      <c r="E182" t="s">
        <v>11</v>
      </c>
      <c r="F182" t="s">
        <v>12</v>
      </c>
      <c r="G182" s="4">
        <v>3697.75</v>
      </c>
    </row>
    <row r="183" spans="1:7" x14ac:dyDescent="0.35">
      <c r="A183" t="s">
        <v>333</v>
      </c>
      <c r="B183" t="s">
        <v>334</v>
      </c>
      <c r="C183" t="s">
        <v>9</v>
      </c>
      <c r="D183" t="s">
        <v>10</v>
      </c>
      <c r="E183" t="s">
        <v>11</v>
      </c>
      <c r="F183" t="s">
        <v>12</v>
      </c>
      <c r="G183" s="4">
        <v>2412.5700000000002</v>
      </c>
    </row>
    <row r="184" spans="1:7" x14ac:dyDescent="0.35">
      <c r="A184" t="s">
        <v>335</v>
      </c>
      <c r="B184" t="s">
        <v>336</v>
      </c>
      <c r="C184" t="s">
        <v>9</v>
      </c>
      <c r="D184" t="s">
        <v>10</v>
      </c>
      <c r="E184" t="s">
        <v>11</v>
      </c>
      <c r="F184" t="s">
        <v>12</v>
      </c>
      <c r="G184" s="4">
        <v>3933.24</v>
      </c>
    </row>
    <row r="185" spans="1:7" x14ac:dyDescent="0.35">
      <c r="A185" t="s">
        <v>337</v>
      </c>
      <c r="B185" t="s">
        <v>178</v>
      </c>
      <c r="C185" t="s">
        <v>9</v>
      </c>
      <c r="D185" t="s">
        <v>10</v>
      </c>
      <c r="E185" t="s">
        <v>11</v>
      </c>
      <c r="F185" t="s">
        <v>12</v>
      </c>
      <c r="G185" s="4">
        <v>-4323.3500000000004</v>
      </c>
    </row>
    <row r="186" spans="1:7" x14ac:dyDescent="0.35">
      <c r="A186" t="s">
        <v>338</v>
      </c>
      <c r="B186" t="s">
        <v>339</v>
      </c>
      <c r="C186" t="s">
        <v>9</v>
      </c>
      <c r="D186" t="s">
        <v>10</v>
      </c>
      <c r="E186" t="s">
        <v>11</v>
      </c>
      <c r="F186" t="s">
        <v>12</v>
      </c>
      <c r="G186" s="4">
        <v>-3838.01</v>
      </c>
    </row>
    <row r="187" spans="1:7" x14ac:dyDescent="0.35">
      <c r="A187" t="s">
        <v>340</v>
      </c>
      <c r="B187" t="s">
        <v>341</v>
      </c>
      <c r="C187" t="s">
        <v>9</v>
      </c>
      <c r="D187" t="s">
        <v>10</v>
      </c>
      <c r="E187" t="s">
        <v>11</v>
      </c>
      <c r="F187" t="s">
        <v>12</v>
      </c>
      <c r="G187" s="4">
        <v>1647.23</v>
      </c>
    </row>
    <row r="188" spans="1:7" x14ac:dyDescent="0.35">
      <c r="A188" t="s">
        <v>7</v>
      </c>
      <c r="B188" t="s">
        <v>8</v>
      </c>
      <c r="C188" t="s">
        <v>342</v>
      </c>
      <c r="D188" t="s">
        <v>343</v>
      </c>
      <c r="E188" t="s">
        <v>11</v>
      </c>
      <c r="F188" t="s">
        <v>12</v>
      </c>
      <c r="G188" s="4">
        <v>3834.48</v>
      </c>
    </row>
    <row r="189" spans="1:7" x14ac:dyDescent="0.35">
      <c r="A189" t="s">
        <v>344</v>
      </c>
      <c r="B189" t="s">
        <v>345</v>
      </c>
      <c r="C189" t="s">
        <v>342</v>
      </c>
      <c r="D189" t="s">
        <v>343</v>
      </c>
      <c r="E189" t="s">
        <v>11</v>
      </c>
      <c r="F189" t="s">
        <v>12</v>
      </c>
      <c r="G189" s="4">
        <v>-147.66999999999999</v>
      </c>
    </row>
    <row r="190" spans="1:7" x14ac:dyDescent="0.35">
      <c r="A190" t="s">
        <v>15</v>
      </c>
      <c r="B190" t="s">
        <v>16</v>
      </c>
      <c r="C190" t="s">
        <v>342</v>
      </c>
      <c r="D190" t="s">
        <v>343</v>
      </c>
      <c r="E190" t="s">
        <v>11</v>
      </c>
      <c r="F190" t="s">
        <v>12</v>
      </c>
      <c r="G190" s="4">
        <v>1622.9</v>
      </c>
    </row>
    <row r="191" spans="1:7" x14ac:dyDescent="0.35">
      <c r="A191" t="s">
        <v>346</v>
      </c>
      <c r="B191" t="s">
        <v>347</v>
      </c>
      <c r="C191" t="s">
        <v>342</v>
      </c>
      <c r="D191" t="s">
        <v>343</v>
      </c>
      <c r="E191" t="s">
        <v>11</v>
      </c>
      <c r="F191" t="s">
        <v>12</v>
      </c>
      <c r="G191" s="4">
        <v>-509.4</v>
      </c>
    </row>
    <row r="192" spans="1:7" x14ac:dyDescent="0.35">
      <c r="A192" t="s">
        <v>348</v>
      </c>
      <c r="B192" t="s">
        <v>319</v>
      </c>
      <c r="C192" t="s">
        <v>342</v>
      </c>
      <c r="D192" t="s">
        <v>343</v>
      </c>
      <c r="E192" t="s">
        <v>11</v>
      </c>
      <c r="F192" t="s">
        <v>12</v>
      </c>
      <c r="G192" s="4">
        <v>-862.15</v>
      </c>
    </row>
    <row r="193" spans="1:7" x14ac:dyDescent="0.35">
      <c r="A193" t="s">
        <v>349</v>
      </c>
      <c r="B193" t="s">
        <v>110</v>
      </c>
      <c r="C193" t="s">
        <v>342</v>
      </c>
      <c r="D193" t="s">
        <v>343</v>
      </c>
      <c r="E193" t="s">
        <v>11</v>
      </c>
      <c r="F193" t="s">
        <v>12</v>
      </c>
      <c r="G193" s="4">
        <v>-208.82</v>
      </c>
    </row>
    <row r="194" spans="1:7" x14ac:dyDescent="0.35">
      <c r="A194" t="s">
        <v>350</v>
      </c>
      <c r="B194" t="s">
        <v>24</v>
      </c>
      <c r="C194" t="s">
        <v>342</v>
      </c>
      <c r="D194" t="s">
        <v>343</v>
      </c>
      <c r="E194" t="s">
        <v>11</v>
      </c>
      <c r="F194" t="s">
        <v>12</v>
      </c>
      <c r="G194" s="4">
        <v>-900.09</v>
      </c>
    </row>
    <row r="195" spans="1:7" x14ac:dyDescent="0.35">
      <c r="A195" t="s">
        <v>351</v>
      </c>
      <c r="B195" t="s">
        <v>352</v>
      </c>
      <c r="C195" t="s">
        <v>342</v>
      </c>
      <c r="D195" t="s">
        <v>343</v>
      </c>
      <c r="E195" t="s">
        <v>11</v>
      </c>
      <c r="F195" t="s">
        <v>12</v>
      </c>
      <c r="G195" s="4">
        <v>-996.89</v>
      </c>
    </row>
    <row r="196" spans="1:7" x14ac:dyDescent="0.35">
      <c r="A196" t="s">
        <v>353</v>
      </c>
      <c r="B196" t="s">
        <v>71</v>
      </c>
      <c r="C196" t="s">
        <v>342</v>
      </c>
      <c r="D196" t="s">
        <v>343</v>
      </c>
      <c r="E196" t="s">
        <v>11</v>
      </c>
      <c r="F196" t="s">
        <v>12</v>
      </c>
      <c r="G196" s="4">
        <v>-689.3</v>
      </c>
    </row>
    <row r="197" spans="1:7" x14ac:dyDescent="0.35">
      <c r="A197" t="s">
        <v>354</v>
      </c>
      <c r="B197" t="s">
        <v>355</v>
      </c>
      <c r="C197" t="s">
        <v>342</v>
      </c>
      <c r="D197" t="s">
        <v>343</v>
      </c>
      <c r="E197" t="s">
        <v>11</v>
      </c>
      <c r="F197" t="s">
        <v>12</v>
      </c>
      <c r="G197" s="4">
        <v>-513.66999999999996</v>
      </c>
    </row>
    <row r="198" spans="1:7" x14ac:dyDescent="0.35">
      <c r="A198" t="s">
        <v>19</v>
      </c>
      <c r="B198" t="s">
        <v>20</v>
      </c>
      <c r="C198" t="s">
        <v>342</v>
      </c>
      <c r="D198" t="s">
        <v>343</v>
      </c>
      <c r="E198" t="s">
        <v>11</v>
      </c>
      <c r="F198" t="s">
        <v>12</v>
      </c>
      <c r="G198" s="4">
        <v>4475.3</v>
      </c>
    </row>
    <row r="199" spans="1:7" x14ac:dyDescent="0.35">
      <c r="A199" t="s">
        <v>23</v>
      </c>
      <c r="B199" t="s">
        <v>24</v>
      </c>
      <c r="C199" t="s">
        <v>342</v>
      </c>
      <c r="D199" t="s">
        <v>343</v>
      </c>
      <c r="E199" t="s">
        <v>11</v>
      </c>
      <c r="F199" t="s">
        <v>12</v>
      </c>
      <c r="G199" s="4">
        <v>1565.61</v>
      </c>
    </row>
    <row r="200" spans="1:7" x14ac:dyDescent="0.35">
      <c r="A200" t="s">
        <v>356</v>
      </c>
      <c r="B200" t="s">
        <v>357</v>
      </c>
      <c r="C200" t="s">
        <v>342</v>
      </c>
      <c r="D200" t="s">
        <v>343</v>
      </c>
      <c r="E200" t="s">
        <v>11</v>
      </c>
      <c r="F200" t="s">
        <v>12</v>
      </c>
      <c r="G200" s="4">
        <v>-574.17999999999995</v>
      </c>
    </row>
    <row r="201" spans="1:7" x14ac:dyDescent="0.35">
      <c r="A201" t="s">
        <v>358</v>
      </c>
      <c r="B201" t="s">
        <v>314</v>
      </c>
      <c r="C201" t="s">
        <v>342</v>
      </c>
      <c r="D201" t="s">
        <v>343</v>
      </c>
      <c r="E201" t="s">
        <v>11</v>
      </c>
      <c r="F201" t="s">
        <v>12</v>
      </c>
      <c r="G201" s="4">
        <v>-806.72</v>
      </c>
    </row>
    <row r="202" spans="1:7" x14ac:dyDescent="0.35">
      <c r="A202" t="s">
        <v>27</v>
      </c>
      <c r="B202" t="s">
        <v>28</v>
      </c>
      <c r="C202" t="s">
        <v>342</v>
      </c>
      <c r="D202" t="s">
        <v>343</v>
      </c>
      <c r="E202" t="s">
        <v>11</v>
      </c>
      <c r="F202" t="s">
        <v>12</v>
      </c>
      <c r="G202" s="4">
        <v>1424.32</v>
      </c>
    </row>
    <row r="203" spans="1:7" x14ac:dyDescent="0.35">
      <c r="A203" t="s">
        <v>29</v>
      </c>
      <c r="B203" t="s">
        <v>30</v>
      </c>
      <c r="C203" t="s">
        <v>342</v>
      </c>
      <c r="D203" t="s">
        <v>343</v>
      </c>
      <c r="E203" t="s">
        <v>11</v>
      </c>
      <c r="F203" t="s">
        <v>12</v>
      </c>
      <c r="G203" s="4">
        <v>2537.58</v>
      </c>
    </row>
    <row r="204" spans="1:7" x14ac:dyDescent="0.35">
      <c r="A204" t="s">
        <v>359</v>
      </c>
      <c r="B204" t="s">
        <v>360</v>
      </c>
      <c r="C204" t="s">
        <v>342</v>
      </c>
      <c r="D204" t="s">
        <v>343</v>
      </c>
      <c r="E204" t="s">
        <v>11</v>
      </c>
      <c r="F204" t="s">
        <v>12</v>
      </c>
      <c r="G204" s="4">
        <v>-645.87</v>
      </c>
    </row>
    <row r="205" spans="1:7" x14ac:dyDescent="0.35">
      <c r="A205" t="s">
        <v>33</v>
      </c>
      <c r="B205" t="s">
        <v>34</v>
      </c>
      <c r="C205" t="s">
        <v>342</v>
      </c>
      <c r="D205" t="s">
        <v>343</v>
      </c>
      <c r="E205" t="s">
        <v>11</v>
      </c>
      <c r="F205" t="s">
        <v>12</v>
      </c>
      <c r="G205" s="4">
        <v>2299.71</v>
      </c>
    </row>
    <row r="206" spans="1:7" x14ac:dyDescent="0.35">
      <c r="A206" t="s">
        <v>37</v>
      </c>
      <c r="B206" t="s">
        <v>38</v>
      </c>
      <c r="C206" t="s">
        <v>342</v>
      </c>
      <c r="D206" t="s">
        <v>343</v>
      </c>
      <c r="E206" t="s">
        <v>11</v>
      </c>
      <c r="F206" t="s">
        <v>12</v>
      </c>
      <c r="G206" s="4">
        <v>4087.97</v>
      </c>
    </row>
    <row r="207" spans="1:7" x14ac:dyDescent="0.35">
      <c r="A207" t="s">
        <v>43</v>
      </c>
      <c r="B207" t="s">
        <v>44</v>
      </c>
      <c r="C207" t="s">
        <v>342</v>
      </c>
      <c r="D207" t="s">
        <v>343</v>
      </c>
      <c r="E207" t="s">
        <v>11</v>
      </c>
      <c r="F207" t="s">
        <v>12</v>
      </c>
      <c r="G207" s="4">
        <v>3944.21</v>
      </c>
    </row>
    <row r="208" spans="1:7" x14ac:dyDescent="0.35">
      <c r="A208" t="s">
        <v>361</v>
      </c>
      <c r="B208" t="s">
        <v>244</v>
      </c>
      <c r="C208" t="s">
        <v>342</v>
      </c>
      <c r="D208" t="s">
        <v>343</v>
      </c>
      <c r="E208" t="s">
        <v>11</v>
      </c>
      <c r="F208" t="s">
        <v>12</v>
      </c>
      <c r="G208" s="4">
        <v>-143.04</v>
      </c>
    </row>
    <row r="209" spans="1:7" x14ac:dyDescent="0.35">
      <c r="A209" t="s">
        <v>362</v>
      </c>
      <c r="B209" t="s">
        <v>363</v>
      </c>
      <c r="C209" t="s">
        <v>342</v>
      </c>
      <c r="D209" t="s">
        <v>343</v>
      </c>
      <c r="E209" t="s">
        <v>11</v>
      </c>
      <c r="F209" t="s">
        <v>12</v>
      </c>
      <c r="G209" s="4">
        <v>-590.46</v>
      </c>
    </row>
    <row r="210" spans="1:7" x14ac:dyDescent="0.35">
      <c r="A210" t="s">
        <v>45</v>
      </c>
      <c r="B210" t="s">
        <v>14</v>
      </c>
      <c r="C210" t="s">
        <v>342</v>
      </c>
      <c r="D210" t="s">
        <v>343</v>
      </c>
      <c r="E210" t="s">
        <v>11</v>
      </c>
      <c r="F210" t="s">
        <v>12</v>
      </c>
      <c r="G210" s="4">
        <v>3231.25</v>
      </c>
    </row>
    <row r="211" spans="1:7" x14ac:dyDescent="0.35">
      <c r="A211" t="s">
        <v>364</v>
      </c>
      <c r="B211" t="s">
        <v>67</v>
      </c>
      <c r="C211" t="s">
        <v>342</v>
      </c>
      <c r="D211" t="s">
        <v>343</v>
      </c>
      <c r="E211" t="s">
        <v>11</v>
      </c>
      <c r="F211" t="s">
        <v>12</v>
      </c>
      <c r="G211" s="4">
        <v>-990.05</v>
      </c>
    </row>
    <row r="212" spans="1:7" x14ac:dyDescent="0.35">
      <c r="A212" t="s">
        <v>46</v>
      </c>
      <c r="B212" t="s">
        <v>47</v>
      </c>
      <c r="C212" t="s">
        <v>342</v>
      </c>
      <c r="D212" t="s">
        <v>343</v>
      </c>
      <c r="E212" t="s">
        <v>11</v>
      </c>
      <c r="F212" t="s">
        <v>12</v>
      </c>
      <c r="G212" s="4">
        <v>1147.1300000000001</v>
      </c>
    </row>
    <row r="213" spans="1:7" x14ac:dyDescent="0.35">
      <c r="A213" t="s">
        <v>52</v>
      </c>
      <c r="B213" t="s">
        <v>53</v>
      </c>
      <c r="C213" t="s">
        <v>342</v>
      </c>
      <c r="D213" t="s">
        <v>343</v>
      </c>
      <c r="E213" t="s">
        <v>11</v>
      </c>
      <c r="F213" t="s">
        <v>12</v>
      </c>
      <c r="G213" s="4">
        <v>4182.21</v>
      </c>
    </row>
    <row r="214" spans="1:7" x14ac:dyDescent="0.35">
      <c r="A214" t="s">
        <v>56</v>
      </c>
      <c r="B214" t="s">
        <v>57</v>
      </c>
      <c r="C214" t="s">
        <v>342</v>
      </c>
      <c r="D214" t="s">
        <v>343</v>
      </c>
      <c r="E214" t="s">
        <v>11</v>
      </c>
      <c r="F214" t="s">
        <v>12</v>
      </c>
      <c r="G214" s="4">
        <v>4234.49</v>
      </c>
    </row>
    <row r="215" spans="1:7" x14ac:dyDescent="0.35">
      <c r="A215" t="s">
        <v>60</v>
      </c>
      <c r="B215" t="s">
        <v>61</v>
      </c>
      <c r="C215" t="s">
        <v>342</v>
      </c>
      <c r="D215" t="s">
        <v>343</v>
      </c>
      <c r="E215" t="s">
        <v>11</v>
      </c>
      <c r="F215" t="s">
        <v>12</v>
      </c>
      <c r="G215" s="4">
        <v>4849.08</v>
      </c>
    </row>
    <row r="216" spans="1:7" x14ac:dyDescent="0.35">
      <c r="A216" t="s">
        <v>365</v>
      </c>
      <c r="B216" t="s">
        <v>366</v>
      </c>
      <c r="C216" t="s">
        <v>342</v>
      </c>
      <c r="D216" t="s">
        <v>343</v>
      </c>
      <c r="E216" t="s">
        <v>11</v>
      </c>
      <c r="F216" t="s">
        <v>12</v>
      </c>
      <c r="G216" s="4">
        <v>-481.87</v>
      </c>
    </row>
    <row r="217" spans="1:7" x14ac:dyDescent="0.35">
      <c r="A217" t="s">
        <v>367</v>
      </c>
      <c r="B217" t="s">
        <v>266</v>
      </c>
      <c r="C217" t="s">
        <v>342</v>
      </c>
      <c r="D217" t="s">
        <v>343</v>
      </c>
      <c r="E217" t="s">
        <v>11</v>
      </c>
      <c r="F217" t="s">
        <v>12</v>
      </c>
      <c r="G217" s="4">
        <v>-737.81</v>
      </c>
    </row>
    <row r="218" spans="1:7" x14ac:dyDescent="0.35">
      <c r="A218" t="s">
        <v>368</v>
      </c>
      <c r="B218" t="s">
        <v>369</v>
      </c>
      <c r="C218" t="s">
        <v>342</v>
      </c>
      <c r="D218" t="s">
        <v>343</v>
      </c>
      <c r="E218" t="s">
        <v>11</v>
      </c>
      <c r="F218" t="s">
        <v>12</v>
      </c>
      <c r="G218" s="4">
        <v>-686.88</v>
      </c>
    </row>
    <row r="219" spans="1:7" x14ac:dyDescent="0.35">
      <c r="A219" t="s">
        <v>370</v>
      </c>
      <c r="B219" t="s">
        <v>371</v>
      </c>
      <c r="C219" t="s">
        <v>342</v>
      </c>
      <c r="D219" t="s">
        <v>343</v>
      </c>
      <c r="E219" t="s">
        <v>11</v>
      </c>
      <c r="F219" t="s">
        <v>12</v>
      </c>
      <c r="G219" s="4">
        <v>-887.98</v>
      </c>
    </row>
    <row r="220" spans="1:7" x14ac:dyDescent="0.35">
      <c r="A220" t="s">
        <v>64</v>
      </c>
      <c r="B220" t="s">
        <v>65</v>
      </c>
      <c r="C220" t="s">
        <v>342</v>
      </c>
      <c r="D220" t="s">
        <v>343</v>
      </c>
      <c r="E220" t="s">
        <v>11</v>
      </c>
      <c r="F220" t="s">
        <v>12</v>
      </c>
      <c r="G220" s="4">
        <v>1796.07</v>
      </c>
    </row>
    <row r="221" spans="1:7" x14ac:dyDescent="0.35">
      <c r="A221" t="s">
        <v>372</v>
      </c>
      <c r="B221" t="s">
        <v>14</v>
      </c>
      <c r="C221" t="s">
        <v>342</v>
      </c>
      <c r="D221" t="s">
        <v>343</v>
      </c>
      <c r="E221" t="s">
        <v>11</v>
      </c>
      <c r="F221" t="s">
        <v>12</v>
      </c>
      <c r="G221" s="4">
        <v>-945.22</v>
      </c>
    </row>
    <row r="222" spans="1:7" x14ac:dyDescent="0.35">
      <c r="A222" t="s">
        <v>66</v>
      </c>
      <c r="B222" t="s">
        <v>67</v>
      </c>
      <c r="C222" t="s">
        <v>342</v>
      </c>
      <c r="D222" t="s">
        <v>343</v>
      </c>
      <c r="E222" t="s">
        <v>11</v>
      </c>
      <c r="F222" t="s">
        <v>12</v>
      </c>
      <c r="G222" s="4">
        <v>4468.43</v>
      </c>
    </row>
    <row r="223" spans="1:7" x14ac:dyDescent="0.35">
      <c r="A223" t="s">
        <v>68</v>
      </c>
      <c r="B223" t="s">
        <v>61</v>
      </c>
      <c r="C223" t="s">
        <v>342</v>
      </c>
      <c r="D223" t="s">
        <v>343</v>
      </c>
      <c r="E223" t="s">
        <v>11</v>
      </c>
      <c r="F223" t="s">
        <v>12</v>
      </c>
      <c r="G223" s="4">
        <v>4363.9799999999996</v>
      </c>
    </row>
    <row r="224" spans="1:7" x14ac:dyDescent="0.35">
      <c r="A224" t="s">
        <v>69</v>
      </c>
      <c r="B224" t="s">
        <v>55</v>
      </c>
      <c r="C224" t="s">
        <v>342</v>
      </c>
      <c r="D224" t="s">
        <v>343</v>
      </c>
      <c r="E224" t="s">
        <v>11</v>
      </c>
      <c r="F224" t="s">
        <v>12</v>
      </c>
      <c r="G224" s="4">
        <v>3022.93</v>
      </c>
    </row>
    <row r="225" spans="1:7" x14ac:dyDescent="0.35">
      <c r="A225" t="s">
        <v>70</v>
      </c>
      <c r="B225" t="s">
        <v>71</v>
      </c>
      <c r="C225" t="s">
        <v>342</v>
      </c>
      <c r="D225" t="s">
        <v>343</v>
      </c>
      <c r="E225" t="s">
        <v>11</v>
      </c>
      <c r="F225" t="s">
        <v>12</v>
      </c>
      <c r="G225" s="4">
        <v>1023.31</v>
      </c>
    </row>
    <row r="226" spans="1:7" x14ac:dyDescent="0.35">
      <c r="A226" t="s">
        <v>72</v>
      </c>
      <c r="B226" t="s">
        <v>73</v>
      </c>
      <c r="C226" t="s">
        <v>342</v>
      </c>
      <c r="D226" t="s">
        <v>343</v>
      </c>
      <c r="E226" t="s">
        <v>11</v>
      </c>
      <c r="F226" t="s">
        <v>12</v>
      </c>
      <c r="G226" s="4">
        <v>4912.8</v>
      </c>
    </row>
    <row r="227" spans="1:7" x14ac:dyDescent="0.35">
      <c r="A227" t="s">
        <v>76</v>
      </c>
      <c r="B227" t="s">
        <v>77</v>
      </c>
      <c r="C227" t="s">
        <v>342</v>
      </c>
      <c r="D227" t="s">
        <v>343</v>
      </c>
      <c r="E227" t="s">
        <v>11</v>
      </c>
      <c r="F227" t="s">
        <v>12</v>
      </c>
      <c r="G227" s="4">
        <v>2330.92</v>
      </c>
    </row>
    <row r="228" spans="1:7" x14ac:dyDescent="0.35">
      <c r="A228" t="s">
        <v>78</v>
      </c>
      <c r="B228" t="s">
        <v>79</v>
      </c>
      <c r="C228" t="s">
        <v>342</v>
      </c>
      <c r="D228" t="s">
        <v>343</v>
      </c>
      <c r="E228" t="s">
        <v>11</v>
      </c>
      <c r="F228" t="s">
        <v>12</v>
      </c>
      <c r="G228" s="4">
        <v>4228.58</v>
      </c>
    </row>
    <row r="229" spans="1:7" x14ac:dyDescent="0.35">
      <c r="A229" t="s">
        <v>101</v>
      </c>
      <c r="B229" t="s">
        <v>8</v>
      </c>
      <c r="C229" t="s">
        <v>342</v>
      </c>
      <c r="D229" t="s">
        <v>343</v>
      </c>
      <c r="E229" t="s">
        <v>11</v>
      </c>
      <c r="F229" t="s">
        <v>12</v>
      </c>
      <c r="G229" s="4">
        <v>4956.3100000000004</v>
      </c>
    </row>
    <row r="230" spans="1:7" x14ac:dyDescent="0.35">
      <c r="A230" t="s">
        <v>373</v>
      </c>
      <c r="B230" t="s">
        <v>374</v>
      </c>
      <c r="C230" t="s">
        <v>342</v>
      </c>
      <c r="D230" t="s">
        <v>343</v>
      </c>
      <c r="E230" t="s">
        <v>11</v>
      </c>
      <c r="F230" t="s">
        <v>12</v>
      </c>
      <c r="G230" s="4">
        <v>-196.06</v>
      </c>
    </row>
    <row r="231" spans="1:7" x14ac:dyDescent="0.35">
      <c r="A231" t="s">
        <v>375</v>
      </c>
      <c r="B231" t="s">
        <v>376</v>
      </c>
      <c r="C231" t="s">
        <v>342</v>
      </c>
      <c r="D231" t="s">
        <v>343</v>
      </c>
      <c r="E231" t="s">
        <v>11</v>
      </c>
      <c r="F231" t="s">
        <v>12</v>
      </c>
      <c r="G231" s="4">
        <v>-199.57</v>
      </c>
    </row>
    <row r="232" spans="1:7" x14ac:dyDescent="0.35">
      <c r="A232" t="s">
        <v>104</v>
      </c>
      <c r="B232" t="s">
        <v>105</v>
      </c>
      <c r="C232" t="s">
        <v>342</v>
      </c>
      <c r="D232" t="s">
        <v>343</v>
      </c>
      <c r="E232" t="s">
        <v>11</v>
      </c>
      <c r="F232" t="s">
        <v>12</v>
      </c>
      <c r="G232" s="4">
        <v>4804.92</v>
      </c>
    </row>
    <row r="233" spans="1:7" x14ac:dyDescent="0.35">
      <c r="A233" t="s">
        <v>107</v>
      </c>
      <c r="B233" t="s">
        <v>108</v>
      </c>
      <c r="C233" t="s">
        <v>342</v>
      </c>
      <c r="D233" t="s">
        <v>343</v>
      </c>
      <c r="E233" t="s">
        <v>11</v>
      </c>
      <c r="F233" t="s">
        <v>12</v>
      </c>
      <c r="G233" s="4">
        <v>4008.02</v>
      </c>
    </row>
    <row r="234" spans="1:7" x14ac:dyDescent="0.35">
      <c r="A234" t="s">
        <v>377</v>
      </c>
      <c r="B234" t="s">
        <v>378</v>
      </c>
      <c r="C234" t="s">
        <v>342</v>
      </c>
      <c r="D234" t="s">
        <v>343</v>
      </c>
      <c r="E234" t="s">
        <v>11</v>
      </c>
      <c r="F234" t="s">
        <v>12</v>
      </c>
      <c r="G234" s="4">
        <v>-949.45</v>
      </c>
    </row>
    <row r="235" spans="1:7" x14ac:dyDescent="0.35">
      <c r="A235" t="s">
        <v>379</v>
      </c>
      <c r="B235" t="s">
        <v>286</v>
      </c>
      <c r="C235" t="s">
        <v>342</v>
      </c>
      <c r="D235" t="s">
        <v>343</v>
      </c>
      <c r="E235" t="s">
        <v>11</v>
      </c>
      <c r="F235" t="s">
        <v>12</v>
      </c>
      <c r="G235" s="4">
        <v>-806.47</v>
      </c>
    </row>
    <row r="236" spans="1:7" x14ac:dyDescent="0.35">
      <c r="A236" t="s">
        <v>380</v>
      </c>
      <c r="B236" t="s">
        <v>223</v>
      </c>
      <c r="C236" t="s">
        <v>342</v>
      </c>
      <c r="D236" t="s">
        <v>343</v>
      </c>
      <c r="E236" t="s">
        <v>11</v>
      </c>
      <c r="F236" t="s">
        <v>12</v>
      </c>
      <c r="G236" s="4">
        <v>-593</v>
      </c>
    </row>
    <row r="237" spans="1:7" x14ac:dyDescent="0.35">
      <c r="A237" t="s">
        <v>113</v>
      </c>
      <c r="B237" t="s">
        <v>114</v>
      </c>
      <c r="C237" t="s">
        <v>342</v>
      </c>
      <c r="D237" t="s">
        <v>343</v>
      </c>
      <c r="E237" t="s">
        <v>11</v>
      </c>
      <c r="F237" t="s">
        <v>12</v>
      </c>
      <c r="G237" s="4">
        <v>4891.46</v>
      </c>
    </row>
    <row r="238" spans="1:7" x14ac:dyDescent="0.35">
      <c r="A238" t="s">
        <v>381</v>
      </c>
      <c r="B238" t="s">
        <v>382</v>
      </c>
      <c r="C238" t="s">
        <v>342</v>
      </c>
      <c r="D238" t="s">
        <v>343</v>
      </c>
      <c r="E238" t="s">
        <v>11</v>
      </c>
      <c r="F238" t="s">
        <v>12</v>
      </c>
      <c r="G238" s="4">
        <v>-533.33000000000004</v>
      </c>
    </row>
    <row r="239" spans="1:7" x14ac:dyDescent="0.35">
      <c r="A239" t="s">
        <v>119</v>
      </c>
      <c r="B239" t="s">
        <v>120</v>
      </c>
      <c r="C239" t="s">
        <v>342</v>
      </c>
      <c r="D239" t="s">
        <v>343</v>
      </c>
      <c r="E239" t="s">
        <v>11</v>
      </c>
      <c r="F239" t="s">
        <v>12</v>
      </c>
      <c r="G239" s="4">
        <v>2539.3000000000002</v>
      </c>
    </row>
    <row r="240" spans="1:7" x14ac:dyDescent="0.35">
      <c r="A240" t="s">
        <v>121</v>
      </c>
      <c r="B240" t="s">
        <v>122</v>
      </c>
      <c r="C240" t="s">
        <v>342</v>
      </c>
      <c r="D240" t="s">
        <v>343</v>
      </c>
      <c r="E240" t="s">
        <v>11</v>
      </c>
      <c r="F240" t="s">
        <v>12</v>
      </c>
      <c r="G240" s="4">
        <v>1320.93</v>
      </c>
    </row>
    <row r="241" spans="1:7" x14ac:dyDescent="0.35">
      <c r="A241" t="s">
        <v>124</v>
      </c>
      <c r="B241" t="s">
        <v>125</v>
      </c>
      <c r="C241" t="s">
        <v>342</v>
      </c>
      <c r="D241" t="s">
        <v>343</v>
      </c>
      <c r="E241" t="s">
        <v>11</v>
      </c>
      <c r="F241" t="s">
        <v>12</v>
      </c>
      <c r="G241" s="4">
        <v>3945.87</v>
      </c>
    </row>
    <row r="242" spans="1:7" x14ac:dyDescent="0.35">
      <c r="A242" t="s">
        <v>383</v>
      </c>
      <c r="B242" t="s">
        <v>384</v>
      </c>
      <c r="C242" t="s">
        <v>342</v>
      </c>
      <c r="D242" t="s">
        <v>343</v>
      </c>
      <c r="E242" t="s">
        <v>11</v>
      </c>
      <c r="F242" t="s">
        <v>12</v>
      </c>
      <c r="G242" s="4">
        <v>-973.19</v>
      </c>
    </row>
    <row r="243" spans="1:7" x14ac:dyDescent="0.35">
      <c r="A243" t="s">
        <v>130</v>
      </c>
      <c r="B243" t="s">
        <v>131</v>
      </c>
      <c r="C243" t="s">
        <v>342</v>
      </c>
      <c r="D243" t="s">
        <v>343</v>
      </c>
      <c r="E243" t="s">
        <v>11</v>
      </c>
      <c r="F243" t="s">
        <v>12</v>
      </c>
      <c r="G243" s="4">
        <v>4026.21</v>
      </c>
    </row>
    <row r="244" spans="1:7" x14ac:dyDescent="0.35">
      <c r="A244" t="s">
        <v>132</v>
      </c>
      <c r="B244" t="s">
        <v>133</v>
      </c>
      <c r="C244" t="s">
        <v>342</v>
      </c>
      <c r="D244" t="s">
        <v>343</v>
      </c>
      <c r="E244" t="s">
        <v>11</v>
      </c>
      <c r="F244" t="s">
        <v>12</v>
      </c>
      <c r="G244" s="4">
        <v>3291.58</v>
      </c>
    </row>
    <row r="245" spans="1:7" x14ac:dyDescent="0.35">
      <c r="A245" t="s">
        <v>385</v>
      </c>
      <c r="B245" t="s">
        <v>328</v>
      </c>
      <c r="C245" t="s">
        <v>342</v>
      </c>
      <c r="D245" t="s">
        <v>343</v>
      </c>
      <c r="E245" t="s">
        <v>11</v>
      </c>
      <c r="F245" t="s">
        <v>12</v>
      </c>
      <c r="G245" s="4">
        <v>-533.78</v>
      </c>
    </row>
    <row r="246" spans="1:7" x14ac:dyDescent="0.35">
      <c r="A246" t="s">
        <v>134</v>
      </c>
      <c r="B246" t="s">
        <v>135</v>
      </c>
      <c r="C246" t="s">
        <v>342</v>
      </c>
      <c r="D246" t="s">
        <v>343</v>
      </c>
      <c r="E246" t="s">
        <v>11</v>
      </c>
      <c r="F246" t="s">
        <v>12</v>
      </c>
      <c r="G246" s="4">
        <v>3313.94</v>
      </c>
    </row>
    <row r="247" spans="1:7" x14ac:dyDescent="0.35">
      <c r="A247" t="s">
        <v>138</v>
      </c>
      <c r="B247" t="s">
        <v>112</v>
      </c>
      <c r="C247" t="s">
        <v>342</v>
      </c>
      <c r="D247" t="s">
        <v>343</v>
      </c>
      <c r="E247" t="s">
        <v>11</v>
      </c>
      <c r="F247" t="s">
        <v>12</v>
      </c>
      <c r="G247" s="4">
        <v>3135.46</v>
      </c>
    </row>
    <row r="248" spans="1:7" x14ac:dyDescent="0.35">
      <c r="A248" t="s">
        <v>386</v>
      </c>
      <c r="B248" t="s">
        <v>83</v>
      </c>
      <c r="C248" t="s">
        <v>342</v>
      </c>
      <c r="D248" t="s">
        <v>343</v>
      </c>
      <c r="E248" t="s">
        <v>11</v>
      </c>
      <c r="F248" t="s">
        <v>12</v>
      </c>
      <c r="G248" s="4">
        <v>-966.68</v>
      </c>
    </row>
    <row r="249" spans="1:7" x14ac:dyDescent="0.35">
      <c r="A249" t="s">
        <v>387</v>
      </c>
      <c r="B249" t="s">
        <v>284</v>
      </c>
      <c r="C249" t="s">
        <v>342</v>
      </c>
      <c r="D249" t="s">
        <v>343</v>
      </c>
      <c r="E249" t="s">
        <v>11</v>
      </c>
      <c r="F249" t="s">
        <v>12</v>
      </c>
      <c r="G249" s="4">
        <v>-530.64</v>
      </c>
    </row>
    <row r="250" spans="1:7" x14ac:dyDescent="0.35">
      <c r="A250" t="s">
        <v>388</v>
      </c>
      <c r="B250" t="s">
        <v>389</v>
      </c>
      <c r="C250" t="s">
        <v>342</v>
      </c>
      <c r="D250" t="s">
        <v>343</v>
      </c>
      <c r="E250" t="s">
        <v>11</v>
      </c>
      <c r="F250" t="s">
        <v>12</v>
      </c>
      <c r="G250" s="4">
        <v>-440.06</v>
      </c>
    </row>
    <row r="251" spans="1:7" x14ac:dyDescent="0.35">
      <c r="A251" t="s">
        <v>141</v>
      </c>
      <c r="B251" t="s">
        <v>24</v>
      </c>
      <c r="C251" t="s">
        <v>342</v>
      </c>
      <c r="D251" t="s">
        <v>343</v>
      </c>
      <c r="E251" t="s">
        <v>11</v>
      </c>
      <c r="F251" t="s">
        <v>12</v>
      </c>
      <c r="G251" s="4">
        <v>1216.77</v>
      </c>
    </row>
    <row r="252" spans="1:7" x14ac:dyDescent="0.35">
      <c r="A252" t="s">
        <v>390</v>
      </c>
      <c r="B252" t="s">
        <v>391</v>
      </c>
      <c r="C252" t="s">
        <v>342</v>
      </c>
      <c r="D252" t="s">
        <v>343</v>
      </c>
      <c r="E252" t="s">
        <v>11</v>
      </c>
      <c r="F252" t="s">
        <v>12</v>
      </c>
      <c r="G252" s="4">
        <v>-242.36</v>
      </c>
    </row>
    <row r="253" spans="1:7" x14ac:dyDescent="0.35">
      <c r="A253" t="s">
        <v>392</v>
      </c>
      <c r="B253" t="s">
        <v>18</v>
      </c>
      <c r="C253" t="s">
        <v>342</v>
      </c>
      <c r="D253" t="s">
        <v>343</v>
      </c>
      <c r="E253" t="s">
        <v>11</v>
      </c>
      <c r="F253" t="s">
        <v>12</v>
      </c>
      <c r="G253" s="4">
        <v>-285.76</v>
      </c>
    </row>
    <row r="254" spans="1:7" x14ac:dyDescent="0.35">
      <c r="A254" t="s">
        <v>144</v>
      </c>
      <c r="B254" t="s">
        <v>145</v>
      </c>
      <c r="C254" t="s">
        <v>342</v>
      </c>
      <c r="D254" t="s">
        <v>343</v>
      </c>
      <c r="E254" t="s">
        <v>11</v>
      </c>
      <c r="F254" t="s">
        <v>12</v>
      </c>
      <c r="G254" s="4">
        <v>3462.02</v>
      </c>
    </row>
    <row r="255" spans="1:7" x14ac:dyDescent="0.35">
      <c r="A255" t="s">
        <v>146</v>
      </c>
      <c r="B255" t="s">
        <v>147</v>
      </c>
      <c r="C255" t="s">
        <v>342</v>
      </c>
      <c r="D255" t="s">
        <v>343</v>
      </c>
      <c r="E255" t="s">
        <v>11</v>
      </c>
      <c r="F255" t="s">
        <v>12</v>
      </c>
      <c r="G255" s="4">
        <v>1311.9</v>
      </c>
    </row>
    <row r="256" spans="1:7" x14ac:dyDescent="0.35">
      <c r="A256" t="s">
        <v>148</v>
      </c>
      <c r="B256" t="s">
        <v>149</v>
      </c>
      <c r="C256" t="s">
        <v>342</v>
      </c>
      <c r="D256" t="s">
        <v>343</v>
      </c>
      <c r="E256" t="s">
        <v>11</v>
      </c>
      <c r="F256" t="s">
        <v>12</v>
      </c>
      <c r="G256" s="4">
        <v>2482.35</v>
      </c>
    </row>
    <row r="257" spans="1:7" x14ac:dyDescent="0.35">
      <c r="A257" t="s">
        <v>393</v>
      </c>
      <c r="B257" t="s">
        <v>394</v>
      </c>
      <c r="C257" t="s">
        <v>342</v>
      </c>
      <c r="D257" t="s">
        <v>343</v>
      </c>
      <c r="E257" t="s">
        <v>11</v>
      </c>
      <c r="F257" t="s">
        <v>12</v>
      </c>
      <c r="G257" s="4">
        <v>-193.87</v>
      </c>
    </row>
    <row r="258" spans="1:7" x14ac:dyDescent="0.35">
      <c r="A258" t="s">
        <v>152</v>
      </c>
      <c r="B258" t="s">
        <v>153</v>
      </c>
      <c r="C258" t="s">
        <v>342</v>
      </c>
      <c r="D258" t="s">
        <v>343</v>
      </c>
      <c r="E258" t="s">
        <v>11</v>
      </c>
      <c r="F258" t="s">
        <v>12</v>
      </c>
      <c r="G258" s="4">
        <v>4969.9799999999996</v>
      </c>
    </row>
    <row r="259" spans="1:7" x14ac:dyDescent="0.35">
      <c r="A259" t="s">
        <v>154</v>
      </c>
      <c r="B259" t="s">
        <v>65</v>
      </c>
      <c r="C259" t="s">
        <v>342</v>
      </c>
      <c r="D259" t="s">
        <v>343</v>
      </c>
      <c r="E259" t="s">
        <v>11</v>
      </c>
      <c r="F259" t="s">
        <v>12</v>
      </c>
      <c r="G259" s="4">
        <v>2066.37</v>
      </c>
    </row>
    <row r="260" spans="1:7" x14ac:dyDescent="0.35">
      <c r="A260" t="s">
        <v>395</v>
      </c>
      <c r="B260" t="s">
        <v>396</v>
      </c>
      <c r="C260" t="s">
        <v>342</v>
      </c>
      <c r="D260" t="s">
        <v>343</v>
      </c>
      <c r="E260" t="s">
        <v>11</v>
      </c>
      <c r="F260" t="s">
        <v>12</v>
      </c>
      <c r="G260" s="4">
        <v>-831.38</v>
      </c>
    </row>
    <row r="261" spans="1:7" x14ac:dyDescent="0.35">
      <c r="A261" t="s">
        <v>397</v>
      </c>
      <c r="B261" t="s">
        <v>328</v>
      </c>
      <c r="C261" t="s">
        <v>342</v>
      </c>
      <c r="D261" t="s">
        <v>343</v>
      </c>
      <c r="E261" t="s">
        <v>11</v>
      </c>
      <c r="F261" t="s">
        <v>12</v>
      </c>
      <c r="G261" s="4">
        <v>-299.12</v>
      </c>
    </row>
    <row r="262" spans="1:7" x14ac:dyDescent="0.35">
      <c r="A262" t="s">
        <v>155</v>
      </c>
      <c r="B262" t="s">
        <v>156</v>
      </c>
      <c r="C262" t="s">
        <v>342</v>
      </c>
      <c r="D262" t="s">
        <v>343</v>
      </c>
      <c r="E262" t="s">
        <v>11</v>
      </c>
      <c r="F262" t="s">
        <v>12</v>
      </c>
      <c r="G262" s="4">
        <v>4507.75</v>
      </c>
    </row>
    <row r="263" spans="1:7" x14ac:dyDescent="0.35">
      <c r="A263" t="s">
        <v>159</v>
      </c>
      <c r="B263" t="s">
        <v>160</v>
      </c>
      <c r="C263" t="s">
        <v>342</v>
      </c>
      <c r="D263" t="s">
        <v>343</v>
      </c>
      <c r="E263" t="s">
        <v>11</v>
      </c>
      <c r="F263" t="s">
        <v>12</v>
      </c>
      <c r="G263" s="4">
        <v>4270.08</v>
      </c>
    </row>
    <row r="264" spans="1:7" x14ac:dyDescent="0.35">
      <c r="A264" t="s">
        <v>398</v>
      </c>
      <c r="B264" t="s">
        <v>49</v>
      </c>
      <c r="C264" t="s">
        <v>342</v>
      </c>
      <c r="D264" t="s">
        <v>343</v>
      </c>
      <c r="E264" t="s">
        <v>11</v>
      </c>
      <c r="F264" t="s">
        <v>12</v>
      </c>
      <c r="G264" s="4">
        <v>-610.33000000000004</v>
      </c>
    </row>
    <row r="265" spans="1:7" x14ac:dyDescent="0.35">
      <c r="A265" t="s">
        <v>161</v>
      </c>
      <c r="B265" t="s">
        <v>162</v>
      </c>
      <c r="C265" t="s">
        <v>342</v>
      </c>
      <c r="D265" t="s">
        <v>343</v>
      </c>
      <c r="E265" t="s">
        <v>11</v>
      </c>
      <c r="F265" t="s">
        <v>12</v>
      </c>
      <c r="G265" s="4">
        <v>3188.87</v>
      </c>
    </row>
    <row r="266" spans="1:7" x14ac:dyDescent="0.35">
      <c r="A266" t="s">
        <v>399</v>
      </c>
      <c r="B266" t="s">
        <v>112</v>
      </c>
      <c r="C266" t="s">
        <v>342</v>
      </c>
      <c r="D266" t="s">
        <v>343</v>
      </c>
      <c r="E266" t="s">
        <v>11</v>
      </c>
      <c r="F266" t="s">
        <v>12</v>
      </c>
      <c r="G266" s="4">
        <v>-942.6</v>
      </c>
    </row>
    <row r="267" spans="1:7" x14ac:dyDescent="0.35">
      <c r="A267" t="s">
        <v>400</v>
      </c>
      <c r="B267" t="s">
        <v>401</v>
      </c>
      <c r="C267" t="s">
        <v>342</v>
      </c>
      <c r="D267" t="s">
        <v>343</v>
      </c>
      <c r="E267" t="s">
        <v>11</v>
      </c>
      <c r="F267" t="s">
        <v>12</v>
      </c>
      <c r="G267" s="4">
        <v>-930.28</v>
      </c>
    </row>
    <row r="268" spans="1:7" x14ac:dyDescent="0.35">
      <c r="A268" t="s">
        <v>402</v>
      </c>
      <c r="B268" t="s">
        <v>403</v>
      </c>
      <c r="C268" t="s">
        <v>342</v>
      </c>
      <c r="D268" t="s">
        <v>343</v>
      </c>
      <c r="E268" t="s">
        <v>11</v>
      </c>
      <c r="F268" t="s">
        <v>12</v>
      </c>
      <c r="G268" s="4">
        <v>-214.02</v>
      </c>
    </row>
    <row r="269" spans="1:7" x14ac:dyDescent="0.35">
      <c r="A269" t="s">
        <v>167</v>
      </c>
      <c r="B269" t="s">
        <v>168</v>
      </c>
      <c r="C269" t="s">
        <v>342</v>
      </c>
      <c r="D269" t="s">
        <v>343</v>
      </c>
      <c r="E269" t="s">
        <v>11</v>
      </c>
      <c r="F269" t="s">
        <v>12</v>
      </c>
      <c r="G269" s="4">
        <v>4285.7299999999996</v>
      </c>
    </row>
    <row r="270" spans="1:7" x14ac:dyDescent="0.35">
      <c r="A270" t="s">
        <v>169</v>
      </c>
      <c r="B270" t="s">
        <v>114</v>
      </c>
      <c r="C270" t="s">
        <v>342</v>
      </c>
      <c r="D270" t="s">
        <v>343</v>
      </c>
      <c r="E270" t="s">
        <v>11</v>
      </c>
      <c r="F270" t="s">
        <v>12</v>
      </c>
      <c r="G270" s="4">
        <v>1116.17</v>
      </c>
    </row>
    <row r="271" spans="1:7" x14ac:dyDescent="0.35">
      <c r="A271" t="s">
        <v>172</v>
      </c>
      <c r="B271" t="s">
        <v>173</v>
      </c>
      <c r="C271" t="s">
        <v>342</v>
      </c>
      <c r="D271" t="s">
        <v>343</v>
      </c>
      <c r="E271" t="s">
        <v>11</v>
      </c>
      <c r="F271" t="s">
        <v>12</v>
      </c>
      <c r="G271" s="4">
        <v>2126.52</v>
      </c>
    </row>
    <row r="272" spans="1:7" x14ac:dyDescent="0.35">
      <c r="A272" t="s">
        <v>404</v>
      </c>
      <c r="B272" t="s">
        <v>275</v>
      </c>
      <c r="C272" t="s">
        <v>342</v>
      </c>
      <c r="D272" t="s">
        <v>343</v>
      </c>
      <c r="E272" t="s">
        <v>11</v>
      </c>
      <c r="F272" t="s">
        <v>12</v>
      </c>
      <c r="G272" s="4">
        <v>-506.47</v>
      </c>
    </row>
    <row r="273" spans="1:7" x14ac:dyDescent="0.35">
      <c r="A273" t="s">
        <v>175</v>
      </c>
      <c r="B273" t="s">
        <v>176</v>
      </c>
      <c r="C273" t="s">
        <v>342</v>
      </c>
      <c r="D273" t="s">
        <v>343</v>
      </c>
      <c r="E273" t="s">
        <v>11</v>
      </c>
      <c r="F273" t="s">
        <v>12</v>
      </c>
      <c r="G273" s="4">
        <v>3329.83</v>
      </c>
    </row>
    <row r="274" spans="1:7" x14ac:dyDescent="0.35">
      <c r="A274" t="s">
        <v>405</v>
      </c>
      <c r="B274" t="s">
        <v>249</v>
      </c>
      <c r="C274" t="s">
        <v>342</v>
      </c>
      <c r="D274" t="s">
        <v>343</v>
      </c>
      <c r="E274" t="s">
        <v>11</v>
      </c>
      <c r="F274" t="s">
        <v>12</v>
      </c>
      <c r="G274" s="4">
        <v>-131.4</v>
      </c>
    </row>
    <row r="275" spans="1:7" x14ac:dyDescent="0.35">
      <c r="A275" t="s">
        <v>406</v>
      </c>
      <c r="B275" t="s">
        <v>403</v>
      </c>
      <c r="C275" t="s">
        <v>342</v>
      </c>
      <c r="D275" t="s">
        <v>343</v>
      </c>
      <c r="E275" t="s">
        <v>11</v>
      </c>
      <c r="F275" t="s">
        <v>12</v>
      </c>
      <c r="G275" s="4">
        <v>-346.43</v>
      </c>
    </row>
    <row r="276" spans="1:7" x14ac:dyDescent="0.35">
      <c r="A276" t="s">
        <v>407</v>
      </c>
      <c r="B276" t="s">
        <v>408</v>
      </c>
      <c r="C276" t="s">
        <v>342</v>
      </c>
      <c r="D276" t="s">
        <v>343</v>
      </c>
      <c r="E276" t="s">
        <v>11</v>
      </c>
      <c r="F276" t="s">
        <v>12</v>
      </c>
      <c r="G276" s="4">
        <v>-290.8</v>
      </c>
    </row>
    <row r="277" spans="1:7" x14ac:dyDescent="0.35">
      <c r="A277" t="s">
        <v>409</v>
      </c>
      <c r="B277" t="s">
        <v>233</v>
      </c>
      <c r="C277" t="s">
        <v>342</v>
      </c>
      <c r="D277" t="s">
        <v>343</v>
      </c>
      <c r="E277" t="s">
        <v>11</v>
      </c>
      <c r="F277" t="s">
        <v>12</v>
      </c>
      <c r="G277" s="4">
        <v>-708.6</v>
      </c>
    </row>
    <row r="278" spans="1:7" x14ac:dyDescent="0.35">
      <c r="A278" t="s">
        <v>181</v>
      </c>
      <c r="B278" t="s">
        <v>42</v>
      </c>
      <c r="C278" t="s">
        <v>342</v>
      </c>
      <c r="D278" t="s">
        <v>343</v>
      </c>
      <c r="E278" t="s">
        <v>11</v>
      </c>
      <c r="F278" t="s">
        <v>12</v>
      </c>
      <c r="G278" s="4">
        <v>3837.3</v>
      </c>
    </row>
    <row r="279" spans="1:7" x14ac:dyDescent="0.35">
      <c r="A279" t="s">
        <v>186</v>
      </c>
      <c r="B279" t="s">
        <v>187</v>
      </c>
      <c r="C279" t="s">
        <v>342</v>
      </c>
      <c r="D279" t="s">
        <v>343</v>
      </c>
      <c r="E279" t="s">
        <v>11</v>
      </c>
      <c r="F279" t="s">
        <v>12</v>
      </c>
      <c r="G279" s="4">
        <v>2898.7</v>
      </c>
    </row>
    <row r="280" spans="1:7" x14ac:dyDescent="0.35">
      <c r="A280" t="s">
        <v>188</v>
      </c>
      <c r="B280" t="s">
        <v>189</v>
      </c>
      <c r="C280" t="s">
        <v>342</v>
      </c>
      <c r="D280" t="s">
        <v>343</v>
      </c>
      <c r="E280" t="s">
        <v>11</v>
      </c>
      <c r="F280" t="s">
        <v>12</v>
      </c>
      <c r="G280" s="4">
        <v>4339.3100000000004</v>
      </c>
    </row>
    <row r="281" spans="1:7" x14ac:dyDescent="0.35">
      <c r="A281" t="s">
        <v>410</v>
      </c>
      <c r="B281" t="s">
        <v>411</v>
      </c>
      <c r="C281" t="s">
        <v>342</v>
      </c>
      <c r="D281" t="s">
        <v>343</v>
      </c>
      <c r="E281" t="s">
        <v>11</v>
      </c>
      <c r="F281" t="s">
        <v>12</v>
      </c>
      <c r="G281" s="4">
        <v>-767.02</v>
      </c>
    </row>
    <row r="282" spans="1:7" x14ac:dyDescent="0.35">
      <c r="A282" t="s">
        <v>192</v>
      </c>
      <c r="B282" t="s">
        <v>193</v>
      </c>
      <c r="C282" t="s">
        <v>342</v>
      </c>
      <c r="D282" t="s">
        <v>343</v>
      </c>
      <c r="E282" t="s">
        <v>11</v>
      </c>
      <c r="F282" t="s">
        <v>12</v>
      </c>
      <c r="G282" s="4">
        <v>1557.7</v>
      </c>
    </row>
    <row r="283" spans="1:7" x14ac:dyDescent="0.35">
      <c r="A283" t="s">
        <v>412</v>
      </c>
      <c r="B283" t="s">
        <v>413</v>
      </c>
      <c r="C283" t="s">
        <v>342</v>
      </c>
      <c r="D283" t="s">
        <v>343</v>
      </c>
      <c r="E283" t="s">
        <v>11</v>
      </c>
      <c r="F283" t="s">
        <v>12</v>
      </c>
      <c r="G283" s="4">
        <v>-468.48</v>
      </c>
    </row>
    <row r="284" spans="1:7" x14ac:dyDescent="0.35">
      <c r="A284" t="s">
        <v>197</v>
      </c>
      <c r="B284" t="s">
        <v>198</v>
      </c>
      <c r="C284" t="s">
        <v>342</v>
      </c>
      <c r="D284" t="s">
        <v>343</v>
      </c>
      <c r="E284" t="s">
        <v>11</v>
      </c>
      <c r="F284" t="s">
        <v>12</v>
      </c>
      <c r="G284" s="4">
        <v>1895.03</v>
      </c>
    </row>
    <row r="285" spans="1:7" x14ac:dyDescent="0.35">
      <c r="A285" t="s">
        <v>414</v>
      </c>
      <c r="B285" t="s">
        <v>415</v>
      </c>
      <c r="C285" t="s">
        <v>342</v>
      </c>
      <c r="D285" t="s">
        <v>343</v>
      </c>
      <c r="E285" t="s">
        <v>11</v>
      </c>
      <c r="F285" t="s">
        <v>12</v>
      </c>
      <c r="G285" s="4">
        <v>-362.69</v>
      </c>
    </row>
    <row r="286" spans="1:7" x14ac:dyDescent="0.35">
      <c r="A286" t="s">
        <v>204</v>
      </c>
      <c r="B286" t="s">
        <v>205</v>
      </c>
      <c r="C286" t="s">
        <v>342</v>
      </c>
      <c r="D286" t="s">
        <v>343</v>
      </c>
      <c r="E286" t="s">
        <v>11</v>
      </c>
      <c r="F286" t="s">
        <v>12</v>
      </c>
      <c r="G286" s="4">
        <v>1367.12</v>
      </c>
    </row>
    <row r="287" spans="1:7" x14ac:dyDescent="0.35">
      <c r="A287" t="s">
        <v>416</v>
      </c>
      <c r="B287" t="s">
        <v>417</v>
      </c>
      <c r="C287" t="s">
        <v>342</v>
      </c>
      <c r="D287" t="s">
        <v>343</v>
      </c>
      <c r="E287" t="s">
        <v>11</v>
      </c>
      <c r="F287" t="s">
        <v>12</v>
      </c>
      <c r="G287" s="4">
        <v>-266.76</v>
      </c>
    </row>
    <row r="288" spans="1:7" x14ac:dyDescent="0.35">
      <c r="A288" t="s">
        <v>418</v>
      </c>
      <c r="B288" t="s">
        <v>219</v>
      </c>
      <c r="C288" t="s">
        <v>342</v>
      </c>
      <c r="D288" t="s">
        <v>343</v>
      </c>
      <c r="E288" t="s">
        <v>11</v>
      </c>
      <c r="F288" t="s">
        <v>12</v>
      </c>
      <c r="G288" s="4">
        <v>-639.79</v>
      </c>
    </row>
    <row r="289" spans="1:7" x14ac:dyDescent="0.35">
      <c r="A289" t="s">
        <v>419</v>
      </c>
      <c r="B289" t="s">
        <v>420</v>
      </c>
      <c r="C289" t="s">
        <v>342</v>
      </c>
      <c r="D289" t="s">
        <v>343</v>
      </c>
      <c r="E289" t="s">
        <v>11</v>
      </c>
      <c r="F289" t="s">
        <v>12</v>
      </c>
      <c r="G289" s="4">
        <v>-373.17</v>
      </c>
    </row>
    <row r="290" spans="1:7" x14ac:dyDescent="0.35">
      <c r="A290" t="s">
        <v>421</v>
      </c>
      <c r="B290" t="s">
        <v>422</v>
      </c>
      <c r="C290" t="s">
        <v>342</v>
      </c>
      <c r="D290" t="s">
        <v>343</v>
      </c>
      <c r="E290" t="s">
        <v>11</v>
      </c>
      <c r="F290" t="s">
        <v>12</v>
      </c>
      <c r="G290" s="4">
        <v>-217.55</v>
      </c>
    </row>
    <row r="291" spans="1:7" x14ac:dyDescent="0.35">
      <c r="A291" t="s">
        <v>423</v>
      </c>
      <c r="B291" t="s">
        <v>424</v>
      </c>
      <c r="C291" t="s">
        <v>342</v>
      </c>
      <c r="D291" t="s">
        <v>343</v>
      </c>
      <c r="E291" t="s">
        <v>11</v>
      </c>
      <c r="F291" t="s">
        <v>12</v>
      </c>
      <c r="G291" s="4">
        <v>-483.43</v>
      </c>
    </row>
    <row r="292" spans="1:7" x14ac:dyDescent="0.35">
      <c r="A292" t="s">
        <v>210</v>
      </c>
      <c r="B292" t="s">
        <v>211</v>
      </c>
      <c r="C292" t="s">
        <v>342</v>
      </c>
      <c r="D292" t="s">
        <v>343</v>
      </c>
      <c r="E292" t="s">
        <v>11</v>
      </c>
      <c r="F292" t="s">
        <v>12</v>
      </c>
      <c r="G292" s="4">
        <v>1886.39</v>
      </c>
    </row>
    <row r="293" spans="1:7" x14ac:dyDescent="0.35">
      <c r="A293" t="s">
        <v>212</v>
      </c>
      <c r="B293" t="s">
        <v>213</v>
      </c>
      <c r="C293" t="s">
        <v>342</v>
      </c>
      <c r="D293" t="s">
        <v>343</v>
      </c>
      <c r="E293" t="s">
        <v>11</v>
      </c>
      <c r="F293" t="s">
        <v>12</v>
      </c>
      <c r="G293" s="4">
        <v>3965.15</v>
      </c>
    </row>
    <row r="294" spans="1:7" x14ac:dyDescent="0.35">
      <c r="A294" t="s">
        <v>214</v>
      </c>
      <c r="B294" t="s">
        <v>22</v>
      </c>
      <c r="C294" t="s">
        <v>342</v>
      </c>
      <c r="D294" t="s">
        <v>343</v>
      </c>
      <c r="E294" t="s">
        <v>11</v>
      </c>
      <c r="F294" t="s">
        <v>12</v>
      </c>
      <c r="G294" s="4">
        <v>1896.96</v>
      </c>
    </row>
    <row r="295" spans="1:7" x14ac:dyDescent="0.35">
      <c r="A295" t="s">
        <v>216</v>
      </c>
      <c r="B295" t="s">
        <v>217</v>
      </c>
      <c r="C295" t="s">
        <v>342</v>
      </c>
      <c r="D295" t="s">
        <v>343</v>
      </c>
      <c r="E295" t="s">
        <v>11</v>
      </c>
      <c r="F295" t="s">
        <v>12</v>
      </c>
      <c r="G295" s="4">
        <v>4193.12</v>
      </c>
    </row>
    <row r="296" spans="1:7" x14ac:dyDescent="0.35">
      <c r="A296" t="s">
        <v>425</v>
      </c>
      <c r="B296" t="s">
        <v>426</v>
      </c>
      <c r="C296" t="s">
        <v>342</v>
      </c>
      <c r="D296" t="s">
        <v>343</v>
      </c>
      <c r="E296" t="s">
        <v>11</v>
      </c>
      <c r="F296" t="s">
        <v>12</v>
      </c>
      <c r="G296" s="4">
        <v>-744.71</v>
      </c>
    </row>
    <row r="297" spans="1:7" x14ac:dyDescent="0.35">
      <c r="A297" t="s">
        <v>220</v>
      </c>
      <c r="B297" t="s">
        <v>221</v>
      </c>
      <c r="C297" t="s">
        <v>342</v>
      </c>
      <c r="D297" t="s">
        <v>343</v>
      </c>
      <c r="E297" t="s">
        <v>11</v>
      </c>
      <c r="F297" t="s">
        <v>12</v>
      </c>
      <c r="G297" s="4">
        <v>1669.04</v>
      </c>
    </row>
    <row r="298" spans="1:7" x14ac:dyDescent="0.35">
      <c r="A298" t="s">
        <v>427</v>
      </c>
      <c r="B298" t="s">
        <v>428</v>
      </c>
      <c r="C298" t="s">
        <v>342</v>
      </c>
      <c r="D298" t="s">
        <v>343</v>
      </c>
      <c r="E298" t="s">
        <v>11</v>
      </c>
      <c r="F298" t="s">
        <v>12</v>
      </c>
      <c r="G298" s="4">
        <v>-497.84</v>
      </c>
    </row>
    <row r="299" spans="1:7" x14ac:dyDescent="0.35">
      <c r="A299" t="s">
        <v>226</v>
      </c>
      <c r="B299" t="s">
        <v>227</v>
      </c>
      <c r="C299" t="s">
        <v>342</v>
      </c>
      <c r="D299" t="s">
        <v>343</v>
      </c>
      <c r="E299" t="s">
        <v>11</v>
      </c>
      <c r="F299" t="s">
        <v>12</v>
      </c>
      <c r="G299" s="4">
        <v>3730.33</v>
      </c>
    </row>
    <row r="300" spans="1:7" x14ac:dyDescent="0.35">
      <c r="A300" t="s">
        <v>228</v>
      </c>
      <c r="B300" t="s">
        <v>77</v>
      </c>
      <c r="C300" t="s">
        <v>342</v>
      </c>
      <c r="D300" t="s">
        <v>343</v>
      </c>
      <c r="E300" t="s">
        <v>11</v>
      </c>
      <c r="F300" t="s">
        <v>12</v>
      </c>
      <c r="G300" s="4">
        <v>1494.36</v>
      </c>
    </row>
    <row r="301" spans="1:7" x14ac:dyDescent="0.35">
      <c r="A301" t="s">
        <v>429</v>
      </c>
      <c r="B301" t="s">
        <v>314</v>
      </c>
      <c r="C301" t="s">
        <v>342</v>
      </c>
      <c r="D301" t="s">
        <v>343</v>
      </c>
      <c r="E301" t="s">
        <v>11</v>
      </c>
      <c r="F301" t="s">
        <v>12</v>
      </c>
      <c r="G301" s="4">
        <v>-495.65</v>
      </c>
    </row>
    <row r="302" spans="1:7" x14ac:dyDescent="0.35">
      <c r="A302" t="s">
        <v>234</v>
      </c>
      <c r="B302" t="s">
        <v>219</v>
      </c>
      <c r="C302" t="s">
        <v>342</v>
      </c>
      <c r="D302" t="s">
        <v>343</v>
      </c>
      <c r="E302" t="s">
        <v>11</v>
      </c>
      <c r="F302" t="s">
        <v>12</v>
      </c>
      <c r="G302" s="4">
        <v>3740.89</v>
      </c>
    </row>
    <row r="303" spans="1:7" x14ac:dyDescent="0.35">
      <c r="A303" t="s">
        <v>235</v>
      </c>
      <c r="B303" t="s">
        <v>191</v>
      </c>
      <c r="C303" t="s">
        <v>342</v>
      </c>
      <c r="D303" t="s">
        <v>343</v>
      </c>
      <c r="E303" t="s">
        <v>11</v>
      </c>
      <c r="F303" t="s">
        <v>12</v>
      </c>
      <c r="G303" s="4">
        <v>1095.68</v>
      </c>
    </row>
    <row r="304" spans="1:7" x14ac:dyDescent="0.35">
      <c r="A304" t="s">
        <v>430</v>
      </c>
      <c r="B304" t="s">
        <v>73</v>
      </c>
      <c r="C304" t="s">
        <v>342</v>
      </c>
      <c r="D304" t="s">
        <v>343</v>
      </c>
      <c r="E304" t="s">
        <v>11</v>
      </c>
      <c r="F304" t="s">
        <v>12</v>
      </c>
      <c r="G304" s="4">
        <v>-570.53</v>
      </c>
    </row>
    <row r="305" spans="1:7" x14ac:dyDescent="0.35">
      <c r="A305" t="s">
        <v>236</v>
      </c>
      <c r="B305" t="s">
        <v>237</v>
      </c>
      <c r="C305" t="s">
        <v>342</v>
      </c>
      <c r="D305" t="s">
        <v>343</v>
      </c>
      <c r="E305" t="s">
        <v>11</v>
      </c>
      <c r="F305" t="s">
        <v>12</v>
      </c>
      <c r="G305" s="4">
        <v>4900.04</v>
      </c>
    </row>
    <row r="306" spans="1:7" x14ac:dyDescent="0.35">
      <c r="A306" t="s">
        <v>240</v>
      </c>
      <c r="B306" t="s">
        <v>241</v>
      </c>
      <c r="C306" t="s">
        <v>342</v>
      </c>
      <c r="D306" t="s">
        <v>343</v>
      </c>
      <c r="E306" t="s">
        <v>11</v>
      </c>
      <c r="F306" t="s">
        <v>12</v>
      </c>
      <c r="G306" s="4">
        <v>4726.7299999999996</v>
      </c>
    </row>
    <row r="307" spans="1:7" x14ac:dyDescent="0.35">
      <c r="A307" t="s">
        <v>431</v>
      </c>
      <c r="B307" t="s">
        <v>376</v>
      </c>
      <c r="C307" t="s">
        <v>342</v>
      </c>
      <c r="D307" t="s">
        <v>343</v>
      </c>
      <c r="E307" t="s">
        <v>11</v>
      </c>
      <c r="F307" t="s">
        <v>12</v>
      </c>
      <c r="G307" s="4">
        <v>-883.66</v>
      </c>
    </row>
    <row r="308" spans="1:7" x14ac:dyDescent="0.35">
      <c r="A308" t="s">
        <v>432</v>
      </c>
      <c r="B308" t="s">
        <v>433</v>
      </c>
      <c r="C308" t="s">
        <v>342</v>
      </c>
      <c r="D308" t="s">
        <v>343</v>
      </c>
      <c r="E308" t="s">
        <v>11</v>
      </c>
      <c r="F308" t="s">
        <v>12</v>
      </c>
      <c r="G308" s="4">
        <v>-296.37</v>
      </c>
    </row>
    <row r="309" spans="1:7" x14ac:dyDescent="0.35">
      <c r="A309" t="s">
        <v>245</v>
      </c>
      <c r="B309" t="s">
        <v>246</v>
      </c>
      <c r="C309" t="s">
        <v>342</v>
      </c>
      <c r="D309" t="s">
        <v>343</v>
      </c>
      <c r="E309" t="s">
        <v>11</v>
      </c>
      <c r="F309" t="s">
        <v>12</v>
      </c>
      <c r="G309" s="4">
        <v>4972.9399999999996</v>
      </c>
    </row>
    <row r="310" spans="1:7" x14ac:dyDescent="0.35">
      <c r="A310" t="s">
        <v>434</v>
      </c>
      <c r="B310" t="s">
        <v>81</v>
      </c>
      <c r="C310" t="s">
        <v>342</v>
      </c>
      <c r="D310" t="s">
        <v>343</v>
      </c>
      <c r="E310" t="s">
        <v>11</v>
      </c>
      <c r="F310" t="s">
        <v>12</v>
      </c>
      <c r="G310" s="4">
        <v>-675.25</v>
      </c>
    </row>
    <row r="311" spans="1:7" x14ac:dyDescent="0.35">
      <c r="A311" t="s">
        <v>247</v>
      </c>
      <c r="B311" t="s">
        <v>26</v>
      </c>
      <c r="C311" t="s">
        <v>342</v>
      </c>
      <c r="D311" t="s">
        <v>343</v>
      </c>
      <c r="E311" t="s">
        <v>11</v>
      </c>
      <c r="F311" t="s">
        <v>12</v>
      </c>
      <c r="G311" s="4">
        <v>4052.32</v>
      </c>
    </row>
    <row r="312" spans="1:7" x14ac:dyDescent="0.35">
      <c r="A312" t="s">
        <v>248</v>
      </c>
      <c r="B312" t="s">
        <v>249</v>
      </c>
      <c r="C312" t="s">
        <v>342</v>
      </c>
      <c r="D312" t="s">
        <v>343</v>
      </c>
      <c r="E312" t="s">
        <v>11</v>
      </c>
      <c r="F312" t="s">
        <v>12</v>
      </c>
      <c r="G312" s="4">
        <v>2322.3200000000002</v>
      </c>
    </row>
    <row r="313" spans="1:7" x14ac:dyDescent="0.35">
      <c r="A313" t="s">
        <v>250</v>
      </c>
      <c r="B313" t="s">
        <v>251</v>
      </c>
      <c r="C313" t="s">
        <v>342</v>
      </c>
      <c r="D313" t="s">
        <v>343</v>
      </c>
      <c r="E313" t="s">
        <v>11</v>
      </c>
      <c r="F313" t="s">
        <v>12</v>
      </c>
      <c r="G313" s="4">
        <v>2528.5</v>
      </c>
    </row>
    <row r="314" spans="1:7" x14ac:dyDescent="0.35">
      <c r="A314" t="s">
        <v>252</v>
      </c>
      <c r="B314" t="s">
        <v>75</v>
      </c>
      <c r="C314" t="s">
        <v>342</v>
      </c>
      <c r="D314" t="s">
        <v>343</v>
      </c>
      <c r="E314" t="s">
        <v>11</v>
      </c>
      <c r="F314" t="s">
        <v>12</v>
      </c>
      <c r="G314" s="4">
        <v>3517.07</v>
      </c>
    </row>
    <row r="315" spans="1:7" x14ac:dyDescent="0.35">
      <c r="A315" t="s">
        <v>435</v>
      </c>
      <c r="B315" t="s">
        <v>436</v>
      </c>
      <c r="C315" t="s">
        <v>342</v>
      </c>
      <c r="D315" t="s">
        <v>343</v>
      </c>
      <c r="E315" t="s">
        <v>11</v>
      </c>
      <c r="F315" t="s">
        <v>12</v>
      </c>
      <c r="G315" s="4">
        <v>-562.27</v>
      </c>
    </row>
    <row r="316" spans="1:7" x14ac:dyDescent="0.35">
      <c r="A316" t="s">
        <v>437</v>
      </c>
      <c r="B316" t="s">
        <v>438</v>
      </c>
      <c r="C316" t="s">
        <v>342</v>
      </c>
      <c r="D316" t="s">
        <v>343</v>
      </c>
      <c r="E316" t="s">
        <v>11</v>
      </c>
      <c r="F316" t="s">
        <v>12</v>
      </c>
      <c r="G316" s="4">
        <v>-822.98</v>
      </c>
    </row>
    <row r="317" spans="1:7" x14ac:dyDescent="0.35">
      <c r="A317" t="s">
        <v>439</v>
      </c>
      <c r="B317" t="s">
        <v>440</v>
      </c>
      <c r="C317" t="s">
        <v>342</v>
      </c>
      <c r="D317" t="s">
        <v>343</v>
      </c>
      <c r="E317" t="s">
        <v>11</v>
      </c>
      <c r="F317" t="s">
        <v>12</v>
      </c>
      <c r="G317" s="4">
        <v>-828.72</v>
      </c>
    </row>
    <row r="318" spans="1:7" x14ac:dyDescent="0.35">
      <c r="A318" t="s">
        <v>253</v>
      </c>
      <c r="B318" t="s">
        <v>254</v>
      </c>
      <c r="C318" t="s">
        <v>342</v>
      </c>
      <c r="D318" t="s">
        <v>343</v>
      </c>
      <c r="E318" t="s">
        <v>11</v>
      </c>
      <c r="F318" t="s">
        <v>12</v>
      </c>
      <c r="G318" s="4">
        <v>3230</v>
      </c>
    </row>
    <row r="319" spans="1:7" x14ac:dyDescent="0.35">
      <c r="A319" t="s">
        <v>255</v>
      </c>
      <c r="B319" t="s">
        <v>153</v>
      </c>
      <c r="C319" t="s">
        <v>342</v>
      </c>
      <c r="D319" t="s">
        <v>343</v>
      </c>
      <c r="E319" t="s">
        <v>11</v>
      </c>
      <c r="F319" t="s">
        <v>12</v>
      </c>
      <c r="G319" s="4">
        <v>1767.43</v>
      </c>
    </row>
    <row r="320" spans="1:7" x14ac:dyDescent="0.35">
      <c r="A320" t="s">
        <v>441</v>
      </c>
      <c r="B320" t="s">
        <v>49</v>
      </c>
      <c r="C320" t="s">
        <v>342</v>
      </c>
      <c r="D320" t="s">
        <v>343</v>
      </c>
      <c r="E320" t="s">
        <v>11</v>
      </c>
      <c r="F320" t="s">
        <v>12</v>
      </c>
      <c r="G320" s="4">
        <v>-215.94</v>
      </c>
    </row>
    <row r="321" spans="1:7" x14ac:dyDescent="0.35">
      <c r="A321" t="s">
        <v>269</v>
      </c>
      <c r="B321" t="s">
        <v>270</v>
      </c>
      <c r="C321" t="s">
        <v>342</v>
      </c>
      <c r="D321" t="s">
        <v>343</v>
      </c>
      <c r="E321" t="s">
        <v>11</v>
      </c>
      <c r="F321" t="s">
        <v>12</v>
      </c>
      <c r="G321" s="4">
        <v>1026.99</v>
      </c>
    </row>
    <row r="322" spans="1:7" x14ac:dyDescent="0.35">
      <c r="A322" t="s">
        <v>271</v>
      </c>
      <c r="B322" t="s">
        <v>87</v>
      </c>
      <c r="C322" t="s">
        <v>342</v>
      </c>
      <c r="D322" t="s">
        <v>343</v>
      </c>
      <c r="E322" t="s">
        <v>11</v>
      </c>
      <c r="F322" t="s">
        <v>12</v>
      </c>
      <c r="G322" s="4">
        <v>1912.51</v>
      </c>
    </row>
    <row r="323" spans="1:7" x14ac:dyDescent="0.35">
      <c r="A323" t="s">
        <v>442</v>
      </c>
      <c r="B323" t="s">
        <v>443</v>
      </c>
      <c r="C323" t="s">
        <v>342</v>
      </c>
      <c r="D323" t="s">
        <v>343</v>
      </c>
      <c r="E323" t="s">
        <v>11</v>
      </c>
      <c r="F323" t="s">
        <v>12</v>
      </c>
      <c r="G323" s="4">
        <v>-537</v>
      </c>
    </row>
    <row r="324" spans="1:7" x14ac:dyDescent="0.35">
      <c r="A324" t="s">
        <v>280</v>
      </c>
      <c r="B324" t="s">
        <v>281</v>
      </c>
      <c r="C324" t="s">
        <v>342</v>
      </c>
      <c r="D324" t="s">
        <v>343</v>
      </c>
      <c r="E324" t="s">
        <v>11</v>
      </c>
      <c r="F324" t="s">
        <v>12</v>
      </c>
      <c r="G324" s="4">
        <v>2422.71</v>
      </c>
    </row>
    <row r="325" spans="1:7" x14ac:dyDescent="0.35">
      <c r="A325" t="s">
        <v>283</v>
      </c>
      <c r="B325" t="s">
        <v>284</v>
      </c>
      <c r="C325" t="s">
        <v>342</v>
      </c>
      <c r="D325" t="s">
        <v>343</v>
      </c>
      <c r="E325" t="s">
        <v>11</v>
      </c>
      <c r="F325" t="s">
        <v>12</v>
      </c>
      <c r="G325" s="4">
        <v>3131.93</v>
      </c>
    </row>
    <row r="326" spans="1:7" x14ac:dyDescent="0.35">
      <c r="A326" t="s">
        <v>444</v>
      </c>
      <c r="B326" t="s">
        <v>445</v>
      </c>
      <c r="C326" t="s">
        <v>342</v>
      </c>
      <c r="D326" t="s">
        <v>343</v>
      </c>
      <c r="E326" t="s">
        <v>11</v>
      </c>
      <c r="F326" t="s">
        <v>12</v>
      </c>
      <c r="G326" s="4">
        <v>-525.34</v>
      </c>
    </row>
    <row r="327" spans="1:7" x14ac:dyDescent="0.35">
      <c r="A327" t="s">
        <v>289</v>
      </c>
      <c r="B327" t="s">
        <v>219</v>
      </c>
      <c r="C327" t="s">
        <v>342</v>
      </c>
      <c r="D327" t="s">
        <v>343</v>
      </c>
      <c r="E327" t="s">
        <v>11</v>
      </c>
      <c r="F327" t="s">
        <v>12</v>
      </c>
      <c r="G327" s="4">
        <v>1182.58</v>
      </c>
    </row>
    <row r="328" spans="1:7" x14ac:dyDescent="0.35">
      <c r="A328" t="s">
        <v>446</v>
      </c>
      <c r="B328" t="s">
        <v>447</v>
      </c>
      <c r="C328" t="s">
        <v>342</v>
      </c>
      <c r="D328" t="s">
        <v>343</v>
      </c>
      <c r="E328" t="s">
        <v>11</v>
      </c>
      <c r="F328" t="s">
        <v>12</v>
      </c>
      <c r="G328" s="4">
        <v>-309.70999999999998</v>
      </c>
    </row>
    <row r="329" spans="1:7" x14ac:dyDescent="0.35">
      <c r="A329" t="s">
        <v>290</v>
      </c>
      <c r="B329" t="s">
        <v>291</v>
      </c>
      <c r="C329" t="s">
        <v>342</v>
      </c>
      <c r="D329" t="s">
        <v>343</v>
      </c>
      <c r="E329" t="s">
        <v>11</v>
      </c>
      <c r="F329" t="s">
        <v>12</v>
      </c>
      <c r="G329" s="4">
        <v>2086.52</v>
      </c>
    </row>
    <row r="330" spans="1:7" x14ac:dyDescent="0.35">
      <c r="A330" t="s">
        <v>292</v>
      </c>
      <c r="B330" t="s">
        <v>51</v>
      </c>
      <c r="C330" t="s">
        <v>342</v>
      </c>
      <c r="D330" t="s">
        <v>343</v>
      </c>
      <c r="E330" t="s">
        <v>11</v>
      </c>
      <c r="F330" t="s">
        <v>12</v>
      </c>
      <c r="G330" s="4">
        <v>4325.66</v>
      </c>
    </row>
    <row r="331" spans="1:7" x14ac:dyDescent="0.35">
      <c r="A331" t="s">
        <v>448</v>
      </c>
      <c r="B331" t="s">
        <v>449</v>
      </c>
      <c r="C331" t="s">
        <v>342</v>
      </c>
      <c r="D331" t="s">
        <v>343</v>
      </c>
      <c r="E331" t="s">
        <v>11</v>
      </c>
      <c r="F331" t="s">
        <v>12</v>
      </c>
      <c r="G331" s="4">
        <v>-425.25</v>
      </c>
    </row>
    <row r="332" spans="1:7" x14ac:dyDescent="0.35">
      <c r="A332" t="s">
        <v>293</v>
      </c>
      <c r="B332" t="s">
        <v>294</v>
      </c>
      <c r="C332" t="s">
        <v>342</v>
      </c>
      <c r="D332" t="s">
        <v>343</v>
      </c>
      <c r="E332" t="s">
        <v>11</v>
      </c>
      <c r="F332" t="s">
        <v>12</v>
      </c>
      <c r="G332" s="4">
        <v>2461.96</v>
      </c>
    </row>
    <row r="333" spans="1:7" x14ac:dyDescent="0.35">
      <c r="A333" t="s">
        <v>450</v>
      </c>
      <c r="B333" t="s">
        <v>191</v>
      </c>
      <c r="C333" t="s">
        <v>342</v>
      </c>
      <c r="D333" t="s">
        <v>343</v>
      </c>
      <c r="E333" t="s">
        <v>11</v>
      </c>
      <c r="F333" t="s">
        <v>12</v>
      </c>
      <c r="G333" s="4">
        <v>-856.47</v>
      </c>
    </row>
    <row r="334" spans="1:7" x14ac:dyDescent="0.35">
      <c r="A334" t="s">
        <v>451</v>
      </c>
      <c r="B334" t="s">
        <v>213</v>
      </c>
      <c r="C334" t="s">
        <v>342</v>
      </c>
      <c r="D334" t="s">
        <v>343</v>
      </c>
      <c r="E334" t="s">
        <v>11</v>
      </c>
      <c r="F334" t="s">
        <v>12</v>
      </c>
      <c r="G334" s="4">
        <v>-496.1</v>
      </c>
    </row>
    <row r="335" spans="1:7" x14ac:dyDescent="0.35">
      <c r="A335" t="s">
        <v>295</v>
      </c>
      <c r="B335" t="s">
        <v>162</v>
      </c>
      <c r="C335" t="s">
        <v>342</v>
      </c>
      <c r="D335" t="s">
        <v>343</v>
      </c>
      <c r="E335" t="s">
        <v>11</v>
      </c>
      <c r="F335" t="s">
        <v>12</v>
      </c>
      <c r="G335" s="4">
        <v>4553.8500000000004</v>
      </c>
    </row>
    <row r="336" spans="1:7" x14ac:dyDescent="0.35">
      <c r="A336" t="s">
        <v>452</v>
      </c>
      <c r="B336" t="s">
        <v>453</v>
      </c>
      <c r="C336" t="s">
        <v>342</v>
      </c>
      <c r="D336" t="s">
        <v>343</v>
      </c>
      <c r="E336" t="s">
        <v>11</v>
      </c>
      <c r="F336" t="s">
        <v>12</v>
      </c>
      <c r="G336" s="4">
        <v>-787.28</v>
      </c>
    </row>
    <row r="337" spans="1:7" x14ac:dyDescent="0.35">
      <c r="A337" t="s">
        <v>454</v>
      </c>
      <c r="B337" t="s">
        <v>455</v>
      </c>
      <c r="C337" t="s">
        <v>342</v>
      </c>
      <c r="D337" t="s">
        <v>343</v>
      </c>
      <c r="E337" t="s">
        <v>11</v>
      </c>
      <c r="F337" t="s">
        <v>12</v>
      </c>
      <c r="G337" s="4">
        <v>-958.31</v>
      </c>
    </row>
    <row r="338" spans="1:7" x14ac:dyDescent="0.35">
      <c r="A338" t="s">
        <v>296</v>
      </c>
      <c r="B338" t="s">
        <v>297</v>
      </c>
      <c r="C338" t="s">
        <v>342</v>
      </c>
      <c r="D338" t="s">
        <v>343</v>
      </c>
      <c r="E338" t="s">
        <v>11</v>
      </c>
      <c r="F338" t="s">
        <v>12</v>
      </c>
      <c r="G338" s="4">
        <v>2145.5700000000002</v>
      </c>
    </row>
    <row r="339" spans="1:7" x14ac:dyDescent="0.35">
      <c r="A339" t="s">
        <v>298</v>
      </c>
      <c r="B339" t="s">
        <v>299</v>
      </c>
      <c r="C339" t="s">
        <v>342</v>
      </c>
      <c r="D339" t="s">
        <v>343</v>
      </c>
      <c r="E339" t="s">
        <v>11</v>
      </c>
      <c r="F339" t="s">
        <v>12</v>
      </c>
      <c r="G339" s="4">
        <v>1919.54</v>
      </c>
    </row>
    <row r="340" spans="1:7" x14ac:dyDescent="0.35">
      <c r="A340" t="s">
        <v>300</v>
      </c>
      <c r="B340" t="s">
        <v>185</v>
      </c>
      <c r="C340" t="s">
        <v>342</v>
      </c>
      <c r="D340" t="s">
        <v>343</v>
      </c>
      <c r="E340" t="s">
        <v>11</v>
      </c>
      <c r="F340" t="s">
        <v>12</v>
      </c>
      <c r="G340" s="4">
        <v>4801.09</v>
      </c>
    </row>
    <row r="341" spans="1:7" x14ac:dyDescent="0.35">
      <c r="A341" t="s">
        <v>456</v>
      </c>
      <c r="B341" t="s">
        <v>457</v>
      </c>
      <c r="C341" t="s">
        <v>342</v>
      </c>
      <c r="D341" t="s">
        <v>343</v>
      </c>
      <c r="E341" t="s">
        <v>11</v>
      </c>
      <c r="F341" t="s">
        <v>12</v>
      </c>
      <c r="G341" s="4">
        <v>-278.88</v>
      </c>
    </row>
    <row r="342" spans="1:7" x14ac:dyDescent="0.35">
      <c r="A342" t="s">
        <v>458</v>
      </c>
      <c r="B342" t="s">
        <v>459</v>
      </c>
      <c r="C342" t="s">
        <v>342</v>
      </c>
      <c r="D342" t="s">
        <v>343</v>
      </c>
      <c r="E342" t="s">
        <v>11</v>
      </c>
      <c r="F342" t="s">
        <v>12</v>
      </c>
      <c r="G342" s="4">
        <v>-961.67</v>
      </c>
    </row>
    <row r="343" spans="1:7" x14ac:dyDescent="0.35">
      <c r="A343" t="s">
        <v>306</v>
      </c>
      <c r="B343" t="s">
        <v>307</v>
      </c>
      <c r="C343" t="s">
        <v>342</v>
      </c>
      <c r="D343" t="s">
        <v>343</v>
      </c>
      <c r="E343" t="s">
        <v>11</v>
      </c>
      <c r="F343" t="s">
        <v>12</v>
      </c>
      <c r="G343" s="4">
        <v>4936.2</v>
      </c>
    </row>
    <row r="344" spans="1:7" x14ac:dyDescent="0.35">
      <c r="A344" t="s">
        <v>460</v>
      </c>
      <c r="B344" t="s">
        <v>202</v>
      </c>
      <c r="C344" t="s">
        <v>342</v>
      </c>
      <c r="D344" t="s">
        <v>343</v>
      </c>
      <c r="E344" t="s">
        <v>11</v>
      </c>
      <c r="F344" t="s">
        <v>12</v>
      </c>
      <c r="G344" s="4">
        <v>-448.52</v>
      </c>
    </row>
    <row r="345" spans="1:7" x14ac:dyDescent="0.35">
      <c r="A345" t="s">
        <v>461</v>
      </c>
      <c r="B345" t="s">
        <v>336</v>
      </c>
      <c r="C345" t="s">
        <v>342</v>
      </c>
      <c r="D345" t="s">
        <v>343</v>
      </c>
      <c r="E345" t="s">
        <v>11</v>
      </c>
      <c r="F345" t="s">
        <v>12</v>
      </c>
      <c r="G345" s="4">
        <v>-712.25</v>
      </c>
    </row>
    <row r="346" spans="1:7" x14ac:dyDescent="0.35">
      <c r="A346" t="s">
        <v>315</v>
      </c>
      <c r="B346" t="s">
        <v>316</v>
      </c>
      <c r="C346" t="s">
        <v>342</v>
      </c>
      <c r="D346" t="s">
        <v>343</v>
      </c>
      <c r="E346" t="s">
        <v>11</v>
      </c>
      <c r="F346" t="s">
        <v>12</v>
      </c>
      <c r="G346" s="4">
        <v>3040.94</v>
      </c>
    </row>
    <row r="347" spans="1:7" x14ac:dyDescent="0.35">
      <c r="A347" t="s">
        <v>320</v>
      </c>
      <c r="B347" t="s">
        <v>321</v>
      </c>
      <c r="C347" t="s">
        <v>342</v>
      </c>
      <c r="D347" t="s">
        <v>343</v>
      </c>
      <c r="E347" t="s">
        <v>11</v>
      </c>
      <c r="F347" t="s">
        <v>12</v>
      </c>
      <c r="G347" s="4">
        <v>3570.27</v>
      </c>
    </row>
    <row r="348" spans="1:7" x14ac:dyDescent="0.35">
      <c r="A348" t="s">
        <v>462</v>
      </c>
      <c r="B348" t="s">
        <v>463</v>
      </c>
      <c r="C348" t="s">
        <v>342</v>
      </c>
      <c r="D348" t="s">
        <v>343</v>
      </c>
      <c r="E348" t="s">
        <v>11</v>
      </c>
      <c r="F348" t="s">
        <v>12</v>
      </c>
      <c r="G348" s="4">
        <v>-339.57</v>
      </c>
    </row>
    <row r="349" spans="1:7" x14ac:dyDescent="0.35">
      <c r="A349" t="s">
        <v>464</v>
      </c>
      <c r="B349" t="s">
        <v>147</v>
      </c>
      <c r="C349" t="s">
        <v>342</v>
      </c>
      <c r="D349" t="s">
        <v>343</v>
      </c>
      <c r="E349" t="s">
        <v>11</v>
      </c>
      <c r="F349" t="s">
        <v>12</v>
      </c>
      <c r="G349" s="4">
        <v>-669.11</v>
      </c>
    </row>
    <row r="350" spans="1:7" x14ac:dyDescent="0.35">
      <c r="A350" t="s">
        <v>465</v>
      </c>
      <c r="B350" t="s">
        <v>466</v>
      </c>
      <c r="C350" t="s">
        <v>342</v>
      </c>
      <c r="D350" t="s">
        <v>343</v>
      </c>
      <c r="E350" t="s">
        <v>11</v>
      </c>
      <c r="F350" t="s">
        <v>12</v>
      </c>
      <c r="G350" s="4">
        <v>-996.8</v>
      </c>
    </row>
    <row r="351" spans="1:7" x14ac:dyDescent="0.35">
      <c r="A351" t="s">
        <v>327</v>
      </c>
      <c r="B351" t="s">
        <v>328</v>
      </c>
      <c r="C351" t="s">
        <v>342</v>
      </c>
      <c r="D351" t="s">
        <v>343</v>
      </c>
      <c r="E351" t="s">
        <v>11</v>
      </c>
      <c r="F351" t="s">
        <v>12</v>
      </c>
      <c r="G351" s="4">
        <v>4007.93</v>
      </c>
    </row>
    <row r="352" spans="1:7" x14ac:dyDescent="0.35">
      <c r="A352" t="s">
        <v>329</v>
      </c>
      <c r="B352" t="s">
        <v>91</v>
      </c>
      <c r="C352" t="s">
        <v>342</v>
      </c>
      <c r="D352" t="s">
        <v>343</v>
      </c>
      <c r="E352" t="s">
        <v>11</v>
      </c>
      <c r="F352" t="s">
        <v>12</v>
      </c>
      <c r="G352" s="4">
        <v>3086.36</v>
      </c>
    </row>
    <row r="353" spans="1:7" x14ac:dyDescent="0.35">
      <c r="A353" t="s">
        <v>467</v>
      </c>
      <c r="B353" t="s">
        <v>468</v>
      </c>
      <c r="C353" t="s">
        <v>342</v>
      </c>
      <c r="D353" t="s">
        <v>343</v>
      </c>
      <c r="E353" t="s">
        <v>11</v>
      </c>
      <c r="F353" t="s">
        <v>12</v>
      </c>
      <c r="G353" s="4">
        <v>-773.65</v>
      </c>
    </row>
    <row r="354" spans="1:7" x14ac:dyDescent="0.35">
      <c r="A354" t="s">
        <v>469</v>
      </c>
      <c r="B354" t="s">
        <v>470</v>
      </c>
      <c r="C354" t="s">
        <v>342</v>
      </c>
      <c r="D354" t="s">
        <v>343</v>
      </c>
      <c r="E354" t="s">
        <v>11</v>
      </c>
      <c r="F354" t="s">
        <v>12</v>
      </c>
      <c r="G354" s="4">
        <v>-371.43</v>
      </c>
    </row>
    <row r="355" spans="1:7" x14ac:dyDescent="0.35">
      <c r="A355" t="s">
        <v>471</v>
      </c>
      <c r="B355" t="s">
        <v>472</v>
      </c>
      <c r="C355" t="s">
        <v>342</v>
      </c>
      <c r="D355" t="s">
        <v>343</v>
      </c>
      <c r="E355" t="s">
        <v>11</v>
      </c>
      <c r="F355" t="s">
        <v>12</v>
      </c>
      <c r="G355" s="4">
        <v>-395.49</v>
      </c>
    </row>
    <row r="356" spans="1:7" x14ac:dyDescent="0.35">
      <c r="A356" t="s">
        <v>473</v>
      </c>
      <c r="B356" t="s">
        <v>474</v>
      </c>
      <c r="C356" t="s">
        <v>342</v>
      </c>
      <c r="D356" t="s">
        <v>343</v>
      </c>
      <c r="E356" t="s">
        <v>11</v>
      </c>
      <c r="F356" t="s">
        <v>12</v>
      </c>
      <c r="G356" s="4">
        <v>-258.75</v>
      </c>
    </row>
    <row r="357" spans="1:7" x14ac:dyDescent="0.35">
      <c r="A357" t="s">
        <v>330</v>
      </c>
      <c r="B357" t="s">
        <v>331</v>
      </c>
      <c r="C357" t="s">
        <v>342</v>
      </c>
      <c r="D357" t="s">
        <v>343</v>
      </c>
      <c r="E357" t="s">
        <v>11</v>
      </c>
      <c r="F357" t="s">
        <v>12</v>
      </c>
      <c r="G357" s="4">
        <v>2842.21</v>
      </c>
    </row>
    <row r="358" spans="1:7" x14ac:dyDescent="0.35">
      <c r="A358" t="s">
        <v>475</v>
      </c>
      <c r="B358" t="s">
        <v>476</v>
      </c>
      <c r="C358" t="s">
        <v>342</v>
      </c>
      <c r="D358" t="s">
        <v>343</v>
      </c>
      <c r="E358" t="s">
        <v>11</v>
      </c>
      <c r="F358" t="s">
        <v>12</v>
      </c>
      <c r="G358" s="4">
        <v>-387.33</v>
      </c>
    </row>
    <row r="359" spans="1:7" x14ac:dyDescent="0.35">
      <c r="A359" t="s">
        <v>337</v>
      </c>
      <c r="B359" t="s">
        <v>178</v>
      </c>
      <c r="C359" t="s">
        <v>342</v>
      </c>
      <c r="D359" t="s">
        <v>343</v>
      </c>
      <c r="E359" t="s">
        <v>11</v>
      </c>
      <c r="F359" t="s">
        <v>12</v>
      </c>
      <c r="G359" s="4">
        <v>4323.3500000000004</v>
      </c>
    </row>
    <row r="360" spans="1:7" x14ac:dyDescent="0.35">
      <c r="A360" t="s">
        <v>477</v>
      </c>
      <c r="B360" t="s">
        <v>478</v>
      </c>
      <c r="C360" t="s">
        <v>342</v>
      </c>
      <c r="D360" t="s">
        <v>343</v>
      </c>
      <c r="E360" t="s">
        <v>11</v>
      </c>
      <c r="F360" t="s">
        <v>12</v>
      </c>
      <c r="G360" s="4">
        <v>-565.54999999999995</v>
      </c>
    </row>
    <row r="361" spans="1:7" x14ac:dyDescent="0.35">
      <c r="A361" t="s">
        <v>338</v>
      </c>
      <c r="B361" t="s">
        <v>339</v>
      </c>
      <c r="C361" t="s">
        <v>342</v>
      </c>
      <c r="D361" t="s">
        <v>343</v>
      </c>
      <c r="E361" t="s">
        <v>11</v>
      </c>
      <c r="F361" t="s">
        <v>12</v>
      </c>
      <c r="G361" s="4">
        <v>3838.01</v>
      </c>
    </row>
    <row r="362" spans="1:7" x14ac:dyDescent="0.35">
      <c r="A362" t="s">
        <v>479</v>
      </c>
      <c r="B362" t="s">
        <v>151</v>
      </c>
      <c r="C362" t="s">
        <v>480</v>
      </c>
      <c r="D362" t="s">
        <v>481</v>
      </c>
      <c r="E362" t="s">
        <v>11</v>
      </c>
      <c r="F362" t="s">
        <v>12</v>
      </c>
      <c r="G362" s="4">
        <v>-1783.54</v>
      </c>
    </row>
    <row r="363" spans="1:7" x14ac:dyDescent="0.35">
      <c r="A363" t="s">
        <v>482</v>
      </c>
      <c r="B363" t="s">
        <v>483</v>
      </c>
      <c r="C363" t="s">
        <v>480</v>
      </c>
      <c r="D363" t="s">
        <v>481</v>
      </c>
      <c r="E363" t="s">
        <v>11</v>
      </c>
      <c r="F363" t="s">
        <v>12</v>
      </c>
      <c r="G363" s="4">
        <v>-720.63</v>
      </c>
    </row>
    <row r="364" spans="1:7" x14ac:dyDescent="0.35">
      <c r="A364" t="s">
        <v>484</v>
      </c>
      <c r="B364" t="s">
        <v>314</v>
      </c>
      <c r="C364" t="s">
        <v>480</v>
      </c>
      <c r="D364" t="s">
        <v>481</v>
      </c>
      <c r="E364" t="s">
        <v>11</v>
      </c>
      <c r="F364" t="s">
        <v>12</v>
      </c>
      <c r="G364" s="4">
        <v>-1485.19</v>
      </c>
    </row>
    <row r="365" spans="1:7" x14ac:dyDescent="0.35">
      <c r="A365" t="s">
        <v>485</v>
      </c>
      <c r="B365" t="s">
        <v>486</v>
      </c>
      <c r="C365" t="s">
        <v>480</v>
      </c>
      <c r="D365" t="s">
        <v>481</v>
      </c>
      <c r="E365" t="s">
        <v>11</v>
      </c>
      <c r="F365" t="s">
        <v>12</v>
      </c>
      <c r="G365" s="4">
        <v>-1556.62</v>
      </c>
    </row>
    <row r="366" spans="1:7" x14ac:dyDescent="0.35">
      <c r="A366" t="s">
        <v>487</v>
      </c>
      <c r="B366" t="s">
        <v>488</v>
      </c>
      <c r="C366" t="s">
        <v>480</v>
      </c>
      <c r="D366" t="s">
        <v>481</v>
      </c>
      <c r="E366" t="s">
        <v>11</v>
      </c>
      <c r="F366" t="s">
        <v>12</v>
      </c>
      <c r="G366" s="4">
        <v>-517.20000000000005</v>
      </c>
    </row>
    <row r="367" spans="1:7" x14ac:dyDescent="0.35">
      <c r="A367" t="s">
        <v>489</v>
      </c>
      <c r="B367" t="s">
        <v>490</v>
      </c>
      <c r="C367" t="s">
        <v>480</v>
      </c>
      <c r="D367" t="s">
        <v>481</v>
      </c>
      <c r="E367" t="s">
        <v>11</v>
      </c>
      <c r="F367" t="s">
        <v>12</v>
      </c>
      <c r="G367" s="4">
        <v>-1713.08</v>
      </c>
    </row>
    <row r="368" spans="1:7" x14ac:dyDescent="0.35">
      <c r="A368" t="s">
        <v>491</v>
      </c>
      <c r="B368" t="s">
        <v>413</v>
      </c>
      <c r="C368" t="s">
        <v>480</v>
      </c>
      <c r="D368" t="s">
        <v>481</v>
      </c>
      <c r="E368" t="s">
        <v>11</v>
      </c>
      <c r="F368" t="s">
        <v>12</v>
      </c>
      <c r="G368" s="4">
        <v>-1426.96</v>
      </c>
    </row>
    <row r="369" spans="1:7" x14ac:dyDescent="0.35">
      <c r="A369" t="s">
        <v>492</v>
      </c>
      <c r="B369" t="s">
        <v>493</v>
      </c>
      <c r="C369" t="s">
        <v>480</v>
      </c>
      <c r="D369" t="s">
        <v>481</v>
      </c>
      <c r="E369" t="s">
        <v>11</v>
      </c>
      <c r="F369" t="s">
        <v>12</v>
      </c>
      <c r="G369" s="4">
        <v>-2362.96</v>
      </c>
    </row>
    <row r="370" spans="1:7" x14ac:dyDescent="0.35">
      <c r="A370" t="s">
        <v>494</v>
      </c>
      <c r="B370" t="s">
        <v>401</v>
      </c>
      <c r="C370" t="s">
        <v>480</v>
      </c>
      <c r="D370" t="s">
        <v>481</v>
      </c>
      <c r="E370" t="s">
        <v>11</v>
      </c>
      <c r="F370" t="s">
        <v>12</v>
      </c>
      <c r="G370" s="4">
        <v>-1731.49</v>
      </c>
    </row>
    <row r="371" spans="1:7" x14ac:dyDescent="0.35">
      <c r="A371" t="s">
        <v>495</v>
      </c>
      <c r="B371" t="s">
        <v>496</v>
      </c>
      <c r="C371" t="s">
        <v>480</v>
      </c>
      <c r="D371" t="s">
        <v>481</v>
      </c>
      <c r="E371" t="s">
        <v>11</v>
      </c>
      <c r="F371" t="s">
        <v>12</v>
      </c>
      <c r="G371" s="4">
        <v>-1715.51</v>
      </c>
    </row>
    <row r="372" spans="1:7" x14ac:dyDescent="0.35">
      <c r="A372" t="s">
        <v>497</v>
      </c>
      <c r="B372" t="s">
        <v>498</v>
      </c>
      <c r="C372" t="s">
        <v>480</v>
      </c>
      <c r="D372" t="s">
        <v>481</v>
      </c>
      <c r="E372" t="s">
        <v>11</v>
      </c>
      <c r="F372" t="s">
        <v>12</v>
      </c>
      <c r="G372" s="4">
        <v>-1982.79</v>
      </c>
    </row>
    <row r="373" spans="1:7" x14ac:dyDescent="0.35">
      <c r="A373" t="s">
        <v>499</v>
      </c>
      <c r="B373" t="s">
        <v>500</v>
      </c>
      <c r="C373" t="s">
        <v>480</v>
      </c>
      <c r="D373" t="s">
        <v>481</v>
      </c>
      <c r="E373" t="s">
        <v>11</v>
      </c>
      <c r="F373" t="s">
        <v>12</v>
      </c>
      <c r="G373" s="4">
        <v>-2286.02</v>
      </c>
    </row>
    <row r="374" spans="1:7" x14ac:dyDescent="0.35">
      <c r="A374" t="s">
        <v>501</v>
      </c>
      <c r="B374" t="s">
        <v>502</v>
      </c>
      <c r="C374" t="s">
        <v>480</v>
      </c>
      <c r="D374" t="s">
        <v>481</v>
      </c>
      <c r="E374" t="s">
        <v>11</v>
      </c>
      <c r="F374" t="s">
        <v>12</v>
      </c>
      <c r="G374" s="4">
        <v>-1210.74</v>
      </c>
    </row>
    <row r="375" spans="1:7" x14ac:dyDescent="0.35">
      <c r="A375" t="s">
        <v>503</v>
      </c>
      <c r="B375" t="s">
        <v>411</v>
      </c>
      <c r="C375" t="s">
        <v>480</v>
      </c>
      <c r="D375" t="s">
        <v>481</v>
      </c>
      <c r="E375" t="s">
        <v>11</v>
      </c>
      <c r="F375" t="s">
        <v>12</v>
      </c>
      <c r="G375" s="4">
        <v>-1367.25</v>
      </c>
    </row>
    <row r="376" spans="1:7" x14ac:dyDescent="0.35">
      <c r="A376" t="s">
        <v>504</v>
      </c>
      <c r="B376" t="s">
        <v>505</v>
      </c>
      <c r="C376" t="s">
        <v>480</v>
      </c>
      <c r="D376" t="s">
        <v>481</v>
      </c>
      <c r="E376" t="s">
        <v>11</v>
      </c>
      <c r="F376" t="s">
        <v>12</v>
      </c>
      <c r="G376" s="4">
        <v>-798.18</v>
      </c>
    </row>
    <row r="377" spans="1:7" x14ac:dyDescent="0.35">
      <c r="A377" t="s">
        <v>506</v>
      </c>
      <c r="B377" t="s">
        <v>507</v>
      </c>
      <c r="C377" t="s">
        <v>480</v>
      </c>
      <c r="D377" t="s">
        <v>481</v>
      </c>
      <c r="E377" t="s">
        <v>11</v>
      </c>
      <c r="F377" t="s">
        <v>12</v>
      </c>
      <c r="G377" s="4">
        <v>-1589.17</v>
      </c>
    </row>
    <row r="378" spans="1:7" x14ac:dyDescent="0.35">
      <c r="A378" t="s">
        <v>508</v>
      </c>
      <c r="B378" t="s">
        <v>374</v>
      </c>
      <c r="C378" t="s">
        <v>480</v>
      </c>
      <c r="D378" t="s">
        <v>481</v>
      </c>
      <c r="E378" t="s">
        <v>11</v>
      </c>
      <c r="F378" t="s">
        <v>12</v>
      </c>
      <c r="G378" s="4">
        <v>-2166.31</v>
      </c>
    </row>
    <row r="379" spans="1:7" x14ac:dyDescent="0.35">
      <c r="A379" t="s">
        <v>509</v>
      </c>
      <c r="B379" t="s">
        <v>299</v>
      </c>
      <c r="C379" t="s">
        <v>480</v>
      </c>
      <c r="D379" t="s">
        <v>481</v>
      </c>
      <c r="E379" t="s">
        <v>11</v>
      </c>
      <c r="F379" t="s">
        <v>12</v>
      </c>
      <c r="G379" s="4">
        <v>-569.1</v>
      </c>
    </row>
    <row r="380" spans="1:7" x14ac:dyDescent="0.35">
      <c r="A380" t="s">
        <v>510</v>
      </c>
      <c r="B380" t="s">
        <v>438</v>
      </c>
      <c r="C380" t="s">
        <v>480</v>
      </c>
      <c r="D380" t="s">
        <v>481</v>
      </c>
      <c r="E380" t="s">
        <v>11</v>
      </c>
      <c r="F380" t="s">
        <v>12</v>
      </c>
      <c r="G380" s="4">
        <v>-2495.21</v>
      </c>
    </row>
    <row r="381" spans="1:7" x14ac:dyDescent="0.35">
      <c r="A381" t="s">
        <v>511</v>
      </c>
      <c r="B381" t="s">
        <v>85</v>
      </c>
      <c r="C381" t="s">
        <v>480</v>
      </c>
      <c r="D381" t="s">
        <v>481</v>
      </c>
      <c r="E381" t="s">
        <v>11</v>
      </c>
      <c r="F381" t="s">
        <v>12</v>
      </c>
      <c r="G381" s="4">
        <v>-835.2</v>
      </c>
    </row>
    <row r="382" spans="1:7" x14ac:dyDescent="0.35">
      <c r="A382" t="s">
        <v>512</v>
      </c>
      <c r="B382" t="s">
        <v>42</v>
      </c>
      <c r="C382" t="s">
        <v>480</v>
      </c>
      <c r="D382" t="s">
        <v>481</v>
      </c>
      <c r="E382" t="s">
        <v>11</v>
      </c>
      <c r="F382" t="s">
        <v>12</v>
      </c>
      <c r="G382" s="4">
        <v>-1348.18</v>
      </c>
    </row>
    <row r="383" spans="1:7" x14ac:dyDescent="0.35">
      <c r="A383" t="s">
        <v>513</v>
      </c>
      <c r="B383" t="s">
        <v>97</v>
      </c>
      <c r="C383" t="s">
        <v>480</v>
      </c>
      <c r="D383" t="s">
        <v>481</v>
      </c>
      <c r="E383" t="s">
        <v>11</v>
      </c>
      <c r="F383" t="s">
        <v>12</v>
      </c>
      <c r="G383" s="4">
        <v>-1443.92</v>
      </c>
    </row>
    <row r="384" spans="1:7" x14ac:dyDescent="0.35">
      <c r="A384" t="s">
        <v>514</v>
      </c>
      <c r="B384" t="s">
        <v>297</v>
      </c>
      <c r="C384" t="s">
        <v>480</v>
      </c>
      <c r="D384" t="s">
        <v>481</v>
      </c>
      <c r="E384" t="s">
        <v>11</v>
      </c>
      <c r="F384" t="s">
        <v>12</v>
      </c>
      <c r="G384" s="4">
        <v>-2359.12</v>
      </c>
    </row>
    <row r="385" spans="1:7" x14ac:dyDescent="0.35">
      <c r="A385" t="s">
        <v>515</v>
      </c>
      <c r="B385" t="s">
        <v>30</v>
      </c>
      <c r="C385" t="s">
        <v>480</v>
      </c>
      <c r="D385" t="s">
        <v>481</v>
      </c>
      <c r="E385" t="s">
        <v>11</v>
      </c>
      <c r="F385" t="s">
        <v>12</v>
      </c>
      <c r="G385" s="4">
        <v>-1529.23</v>
      </c>
    </row>
    <row r="386" spans="1:7" x14ac:dyDescent="0.35">
      <c r="A386" t="s">
        <v>516</v>
      </c>
      <c r="B386" t="s">
        <v>517</v>
      </c>
      <c r="C386" t="s">
        <v>480</v>
      </c>
      <c r="D386" t="s">
        <v>481</v>
      </c>
      <c r="E386" t="s">
        <v>11</v>
      </c>
      <c r="F386" t="s">
        <v>12</v>
      </c>
      <c r="G386" s="4">
        <v>-2306.88</v>
      </c>
    </row>
    <row r="387" spans="1:7" x14ac:dyDescent="0.35">
      <c r="A387" t="s">
        <v>518</v>
      </c>
      <c r="B387" t="s">
        <v>259</v>
      </c>
      <c r="C387" t="s">
        <v>480</v>
      </c>
      <c r="D387" t="s">
        <v>481</v>
      </c>
      <c r="E387" t="s">
        <v>11</v>
      </c>
      <c r="F387" t="s">
        <v>12</v>
      </c>
      <c r="G387" s="4">
        <v>-1427.61</v>
      </c>
    </row>
    <row r="388" spans="1:7" x14ac:dyDescent="0.35">
      <c r="A388" t="s">
        <v>519</v>
      </c>
      <c r="B388" t="s">
        <v>520</v>
      </c>
      <c r="C388" t="s">
        <v>480</v>
      </c>
      <c r="D388" t="s">
        <v>481</v>
      </c>
      <c r="E388" t="s">
        <v>11</v>
      </c>
      <c r="F388" t="s">
        <v>12</v>
      </c>
      <c r="G388" s="4">
        <v>-1597.39</v>
      </c>
    </row>
    <row r="389" spans="1:7" x14ac:dyDescent="0.35">
      <c r="A389" t="s">
        <v>521</v>
      </c>
      <c r="B389" t="s">
        <v>522</v>
      </c>
      <c r="C389" t="s">
        <v>480</v>
      </c>
      <c r="D389" t="s">
        <v>481</v>
      </c>
      <c r="E389" t="s">
        <v>11</v>
      </c>
      <c r="F389" t="s">
        <v>12</v>
      </c>
      <c r="G389" s="4">
        <v>-1444.41</v>
      </c>
    </row>
    <row r="390" spans="1:7" x14ac:dyDescent="0.35">
      <c r="A390" t="s">
        <v>523</v>
      </c>
      <c r="B390" t="s">
        <v>524</v>
      </c>
      <c r="C390" t="s">
        <v>480</v>
      </c>
      <c r="D390" t="s">
        <v>481</v>
      </c>
      <c r="E390" t="s">
        <v>11</v>
      </c>
      <c r="F390" t="s">
        <v>12</v>
      </c>
      <c r="G390" s="4">
        <v>-1445.02</v>
      </c>
    </row>
    <row r="391" spans="1:7" x14ac:dyDescent="0.35">
      <c r="A391" t="s">
        <v>525</v>
      </c>
      <c r="B391" t="s">
        <v>440</v>
      </c>
      <c r="C391" t="s">
        <v>480</v>
      </c>
      <c r="D391" t="s">
        <v>481</v>
      </c>
      <c r="E391" t="s">
        <v>11</v>
      </c>
      <c r="F391" t="s">
        <v>12</v>
      </c>
      <c r="G391" s="4">
        <v>-1854.22</v>
      </c>
    </row>
    <row r="392" spans="1:7" x14ac:dyDescent="0.35">
      <c r="A392" t="s">
        <v>526</v>
      </c>
      <c r="B392" t="s">
        <v>527</v>
      </c>
      <c r="C392" t="s">
        <v>480</v>
      </c>
      <c r="D392" t="s">
        <v>481</v>
      </c>
      <c r="E392" t="s">
        <v>11</v>
      </c>
      <c r="F392" t="s">
        <v>12</v>
      </c>
      <c r="G392" s="4">
        <v>-1239.52</v>
      </c>
    </row>
    <row r="393" spans="1:7" x14ac:dyDescent="0.35">
      <c r="A393" t="s">
        <v>528</v>
      </c>
      <c r="B393" t="s">
        <v>529</v>
      </c>
      <c r="C393" t="s">
        <v>480</v>
      </c>
      <c r="D393" t="s">
        <v>481</v>
      </c>
      <c r="E393" t="s">
        <v>11</v>
      </c>
      <c r="F393" t="s">
        <v>12</v>
      </c>
      <c r="G393" s="4">
        <v>-2019.28</v>
      </c>
    </row>
    <row r="394" spans="1:7" x14ac:dyDescent="0.35">
      <c r="A394" t="s">
        <v>530</v>
      </c>
      <c r="B394" t="s">
        <v>225</v>
      </c>
      <c r="C394" t="s">
        <v>480</v>
      </c>
      <c r="D394" t="s">
        <v>481</v>
      </c>
      <c r="E394" t="s">
        <v>11</v>
      </c>
      <c r="F394" t="s">
        <v>12</v>
      </c>
      <c r="G394" s="4">
        <v>-1549.07</v>
      </c>
    </row>
    <row r="395" spans="1:7" x14ac:dyDescent="0.35">
      <c r="A395" t="s">
        <v>531</v>
      </c>
      <c r="B395" t="s">
        <v>443</v>
      </c>
      <c r="C395" t="s">
        <v>480</v>
      </c>
      <c r="D395" t="s">
        <v>481</v>
      </c>
      <c r="E395" t="s">
        <v>11</v>
      </c>
      <c r="F395" t="s">
        <v>12</v>
      </c>
      <c r="G395" s="4">
        <v>-1026.3699999999999</v>
      </c>
    </row>
    <row r="396" spans="1:7" x14ac:dyDescent="0.35">
      <c r="A396" t="s">
        <v>532</v>
      </c>
      <c r="B396" t="s">
        <v>463</v>
      </c>
      <c r="C396" t="s">
        <v>480</v>
      </c>
      <c r="D396" t="s">
        <v>481</v>
      </c>
      <c r="E396" t="s">
        <v>11</v>
      </c>
      <c r="F396" t="s">
        <v>12</v>
      </c>
      <c r="G396" s="4">
        <v>-2047.24</v>
      </c>
    </row>
    <row r="397" spans="1:7" x14ac:dyDescent="0.35">
      <c r="A397" t="s">
        <v>533</v>
      </c>
      <c r="B397" t="s">
        <v>534</v>
      </c>
      <c r="C397" t="s">
        <v>480</v>
      </c>
      <c r="D397" t="s">
        <v>481</v>
      </c>
      <c r="E397" t="s">
        <v>11</v>
      </c>
      <c r="F397" t="s">
        <v>12</v>
      </c>
      <c r="G397" s="4">
        <v>-1270.49</v>
      </c>
    </row>
    <row r="398" spans="1:7" x14ac:dyDescent="0.35">
      <c r="A398" t="s">
        <v>535</v>
      </c>
      <c r="B398" t="s">
        <v>536</v>
      </c>
      <c r="C398" t="s">
        <v>480</v>
      </c>
      <c r="D398" t="s">
        <v>481</v>
      </c>
      <c r="E398" t="s">
        <v>11</v>
      </c>
      <c r="F398" t="s">
        <v>12</v>
      </c>
      <c r="G398" s="4">
        <v>-2178.91</v>
      </c>
    </row>
    <row r="399" spans="1:7" x14ac:dyDescent="0.35">
      <c r="A399" t="s">
        <v>537</v>
      </c>
      <c r="B399" t="s">
        <v>87</v>
      </c>
      <c r="C399" t="s">
        <v>480</v>
      </c>
      <c r="D399" t="s">
        <v>481</v>
      </c>
      <c r="E399" t="s">
        <v>11</v>
      </c>
      <c r="F399" t="s">
        <v>12</v>
      </c>
      <c r="G399" s="4">
        <v>-2118.91</v>
      </c>
    </row>
    <row r="400" spans="1:7" x14ac:dyDescent="0.35">
      <c r="A400" t="s">
        <v>538</v>
      </c>
      <c r="B400" t="s">
        <v>539</v>
      </c>
      <c r="C400" t="s">
        <v>480</v>
      </c>
      <c r="D400" t="s">
        <v>481</v>
      </c>
      <c r="E400" t="s">
        <v>11</v>
      </c>
      <c r="F400" t="s">
        <v>12</v>
      </c>
      <c r="G400" s="4">
        <v>-1305.58</v>
      </c>
    </row>
    <row r="401" spans="1:7" x14ac:dyDescent="0.35">
      <c r="A401" t="s">
        <v>540</v>
      </c>
      <c r="B401" t="s">
        <v>286</v>
      </c>
      <c r="C401" t="s">
        <v>480</v>
      </c>
      <c r="D401" t="s">
        <v>481</v>
      </c>
      <c r="E401" t="s">
        <v>11</v>
      </c>
      <c r="F401" t="s">
        <v>12</v>
      </c>
      <c r="G401" s="4">
        <v>-2085.2399999999998</v>
      </c>
    </row>
    <row r="402" spans="1:7" x14ac:dyDescent="0.35">
      <c r="A402" t="s">
        <v>541</v>
      </c>
      <c r="B402" t="s">
        <v>542</v>
      </c>
      <c r="C402" t="s">
        <v>480</v>
      </c>
      <c r="D402" t="s">
        <v>481</v>
      </c>
      <c r="E402" t="s">
        <v>11</v>
      </c>
      <c r="F402" t="s">
        <v>12</v>
      </c>
      <c r="G402" s="4">
        <v>-2056.38</v>
      </c>
    </row>
    <row r="403" spans="1:7" x14ac:dyDescent="0.35">
      <c r="A403" t="s">
        <v>543</v>
      </c>
      <c r="B403" t="s">
        <v>71</v>
      </c>
      <c r="C403" t="s">
        <v>480</v>
      </c>
      <c r="D403" t="s">
        <v>481</v>
      </c>
      <c r="E403" t="s">
        <v>11</v>
      </c>
      <c r="F403" t="s">
        <v>12</v>
      </c>
      <c r="G403" s="4">
        <v>-751.92</v>
      </c>
    </row>
    <row r="404" spans="1:7" x14ac:dyDescent="0.35">
      <c r="A404" t="s">
        <v>544</v>
      </c>
      <c r="B404" t="s">
        <v>205</v>
      </c>
      <c r="C404" t="s">
        <v>480</v>
      </c>
      <c r="D404" t="s">
        <v>481</v>
      </c>
      <c r="E404" t="s">
        <v>11</v>
      </c>
      <c r="F404" t="s">
        <v>12</v>
      </c>
      <c r="G404" s="4">
        <v>-1584.05</v>
      </c>
    </row>
    <row r="405" spans="1:7" x14ac:dyDescent="0.35">
      <c r="A405" t="s">
        <v>545</v>
      </c>
      <c r="B405" t="s">
        <v>546</v>
      </c>
      <c r="C405" t="s">
        <v>480</v>
      </c>
      <c r="D405" t="s">
        <v>481</v>
      </c>
      <c r="E405" t="s">
        <v>11</v>
      </c>
      <c r="F405" t="s">
        <v>12</v>
      </c>
      <c r="G405" s="4">
        <v>-1322.21</v>
      </c>
    </row>
    <row r="406" spans="1:7" x14ac:dyDescent="0.35">
      <c r="A406" t="s">
        <v>547</v>
      </c>
      <c r="B406" t="s">
        <v>49</v>
      </c>
      <c r="C406" t="s">
        <v>480</v>
      </c>
      <c r="D406" t="s">
        <v>481</v>
      </c>
      <c r="E406" t="s">
        <v>11</v>
      </c>
      <c r="F406" t="s">
        <v>12</v>
      </c>
      <c r="G406" s="4">
        <v>-1766.62</v>
      </c>
    </row>
    <row r="407" spans="1:7" x14ac:dyDescent="0.35">
      <c r="A407" t="s">
        <v>548</v>
      </c>
      <c r="B407" t="s">
        <v>389</v>
      </c>
      <c r="C407" t="s">
        <v>480</v>
      </c>
      <c r="D407" t="s">
        <v>481</v>
      </c>
      <c r="E407" t="s">
        <v>11</v>
      </c>
      <c r="F407" t="s">
        <v>12</v>
      </c>
      <c r="G407" s="4">
        <v>-784.53</v>
      </c>
    </row>
    <row r="408" spans="1:7" x14ac:dyDescent="0.35">
      <c r="A408" t="s">
        <v>549</v>
      </c>
      <c r="B408" t="s">
        <v>550</v>
      </c>
      <c r="C408" t="s">
        <v>480</v>
      </c>
      <c r="D408" t="s">
        <v>481</v>
      </c>
      <c r="E408" t="s">
        <v>11</v>
      </c>
      <c r="F408" t="s">
        <v>12</v>
      </c>
      <c r="G408" s="4">
        <v>-1335.72</v>
      </c>
    </row>
    <row r="409" spans="1:7" x14ac:dyDescent="0.35">
      <c r="A409" t="s">
        <v>551</v>
      </c>
      <c r="B409" t="s">
        <v>552</v>
      </c>
      <c r="C409" t="s">
        <v>480</v>
      </c>
      <c r="D409" t="s">
        <v>481</v>
      </c>
      <c r="E409" t="s">
        <v>11</v>
      </c>
      <c r="F409" t="s">
        <v>12</v>
      </c>
      <c r="G409" s="4">
        <v>-1004.45</v>
      </c>
    </row>
    <row r="410" spans="1:7" x14ac:dyDescent="0.35">
      <c r="A410" t="s">
        <v>553</v>
      </c>
      <c r="B410" t="s">
        <v>554</v>
      </c>
      <c r="C410" t="s">
        <v>480</v>
      </c>
      <c r="D410" t="s">
        <v>481</v>
      </c>
      <c r="E410" t="s">
        <v>11</v>
      </c>
      <c r="F410" t="s">
        <v>12</v>
      </c>
      <c r="G410" s="4">
        <v>-2421.91</v>
      </c>
    </row>
    <row r="411" spans="1:7" x14ac:dyDescent="0.35">
      <c r="A411" t="s">
        <v>555</v>
      </c>
      <c r="B411" t="s">
        <v>556</v>
      </c>
      <c r="C411" t="s">
        <v>480</v>
      </c>
      <c r="D411" t="s">
        <v>481</v>
      </c>
      <c r="E411" t="s">
        <v>11</v>
      </c>
      <c r="F411" t="s">
        <v>12</v>
      </c>
      <c r="G411" s="4">
        <v>-759.63</v>
      </c>
    </row>
    <row r="412" spans="1:7" x14ac:dyDescent="0.35">
      <c r="A412" t="s">
        <v>557</v>
      </c>
      <c r="B412" t="s">
        <v>550</v>
      </c>
      <c r="C412" t="s">
        <v>480</v>
      </c>
      <c r="D412" t="s">
        <v>481</v>
      </c>
      <c r="E412" t="s">
        <v>11</v>
      </c>
      <c r="F412" t="s">
        <v>12</v>
      </c>
      <c r="G412" s="4">
        <v>-2291.48</v>
      </c>
    </row>
    <row r="413" spans="1:7" x14ac:dyDescent="0.35">
      <c r="A413" t="s">
        <v>558</v>
      </c>
      <c r="B413" t="s">
        <v>314</v>
      </c>
      <c r="C413" t="s">
        <v>480</v>
      </c>
      <c r="D413" t="s">
        <v>481</v>
      </c>
      <c r="E413" t="s">
        <v>11</v>
      </c>
      <c r="F413" t="s">
        <v>12</v>
      </c>
      <c r="G413" s="4">
        <v>-947.71</v>
      </c>
    </row>
    <row r="414" spans="1:7" x14ac:dyDescent="0.35">
      <c r="A414" t="s">
        <v>559</v>
      </c>
      <c r="B414" t="s">
        <v>401</v>
      </c>
      <c r="C414" t="s">
        <v>480</v>
      </c>
      <c r="D414" t="s">
        <v>481</v>
      </c>
      <c r="E414" t="s">
        <v>11</v>
      </c>
      <c r="F414" t="s">
        <v>12</v>
      </c>
      <c r="G414" s="4">
        <v>-2382.1</v>
      </c>
    </row>
    <row r="415" spans="1:7" x14ac:dyDescent="0.35">
      <c r="A415" t="s">
        <v>560</v>
      </c>
      <c r="B415" t="s">
        <v>345</v>
      </c>
      <c r="C415" t="s">
        <v>480</v>
      </c>
      <c r="D415" t="s">
        <v>481</v>
      </c>
      <c r="E415" t="s">
        <v>11</v>
      </c>
      <c r="F415" t="s">
        <v>12</v>
      </c>
      <c r="G415" s="4">
        <v>-1972.49</v>
      </c>
    </row>
    <row r="416" spans="1:7" x14ac:dyDescent="0.35">
      <c r="A416" t="s">
        <v>561</v>
      </c>
      <c r="B416" t="s">
        <v>562</v>
      </c>
      <c r="C416" t="s">
        <v>480</v>
      </c>
      <c r="D416" t="s">
        <v>481</v>
      </c>
      <c r="E416" t="s">
        <v>11</v>
      </c>
      <c r="F416" t="s">
        <v>12</v>
      </c>
      <c r="G416" s="4">
        <v>-2383.1</v>
      </c>
    </row>
    <row r="417" spans="1:7" x14ac:dyDescent="0.35">
      <c r="A417" t="s">
        <v>563</v>
      </c>
      <c r="B417" t="s">
        <v>73</v>
      </c>
      <c r="C417" t="s">
        <v>480</v>
      </c>
      <c r="D417" t="s">
        <v>481</v>
      </c>
      <c r="E417" t="s">
        <v>11</v>
      </c>
      <c r="F417" t="s">
        <v>12</v>
      </c>
      <c r="G417" s="4">
        <v>-1127.3900000000001</v>
      </c>
    </row>
    <row r="418" spans="1:7" x14ac:dyDescent="0.35">
      <c r="A418" t="s">
        <v>564</v>
      </c>
      <c r="B418" t="s">
        <v>565</v>
      </c>
      <c r="C418" t="s">
        <v>480</v>
      </c>
      <c r="D418" t="s">
        <v>481</v>
      </c>
      <c r="E418" t="s">
        <v>11</v>
      </c>
      <c r="F418" t="s">
        <v>12</v>
      </c>
      <c r="G418" s="4">
        <v>-683.13</v>
      </c>
    </row>
    <row r="419" spans="1:7" x14ac:dyDescent="0.35">
      <c r="A419" t="s">
        <v>566</v>
      </c>
      <c r="B419" t="s">
        <v>133</v>
      </c>
      <c r="C419" t="s">
        <v>480</v>
      </c>
      <c r="D419" t="s">
        <v>481</v>
      </c>
      <c r="E419" t="s">
        <v>11</v>
      </c>
      <c r="F419" t="s">
        <v>12</v>
      </c>
      <c r="G419" s="4">
        <v>-2446.83</v>
      </c>
    </row>
    <row r="420" spans="1:7" x14ac:dyDescent="0.35">
      <c r="A420" t="s">
        <v>567</v>
      </c>
      <c r="B420" t="s">
        <v>160</v>
      </c>
      <c r="C420" t="s">
        <v>480</v>
      </c>
      <c r="D420" t="s">
        <v>481</v>
      </c>
      <c r="E420" t="s">
        <v>11</v>
      </c>
      <c r="F420" t="s">
        <v>12</v>
      </c>
      <c r="G420" s="4">
        <v>-1861.29</v>
      </c>
    </row>
    <row r="421" spans="1:7" x14ac:dyDescent="0.35">
      <c r="A421" t="s">
        <v>568</v>
      </c>
      <c r="B421" t="s">
        <v>569</v>
      </c>
      <c r="C421" t="s">
        <v>480</v>
      </c>
      <c r="D421" t="s">
        <v>481</v>
      </c>
      <c r="E421" t="s">
        <v>11</v>
      </c>
      <c r="F421" t="s">
        <v>12</v>
      </c>
      <c r="G421" s="4">
        <v>-1436.51</v>
      </c>
    </row>
    <row r="422" spans="1:7" x14ac:dyDescent="0.35">
      <c r="A422" t="s">
        <v>570</v>
      </c>
      <c r="B422" t="s">
        <v>565</v>
      </c>
      <c r="C422" t="s">
        <v>480</v>
      </c>
      <c r="D422" t="s">
        <v>481</v>
      </c>
      <c r="E422" t="s">
        <v>11</v>
      </c>
      <c r="F422" t="s">
        <v>12</v>
      </c>
      <c r="G422" s="4">
        <v>-2259.69</v>
      </c>
    </row>
    <row r="423" spans="1:7" x14ac:dyDescent="0.35">
      <c r="A423" t="s">
        <v>571</v>
      </c>
      <c r="B423" t="s">
        <v>391</v>
      </c>
      <c r="C423" t="s">
        <v>480</v>
      </c>
      <c r="D423" t="s">
        <v>481</v>
      </c>
      <c r="E423" t="s">
        <v>11</v>
      </c>
      <c r="F423" t="s">
        <v>12</v>
      </c>
      <c r="G423" s="4">
        <v>-805.05</v>
      </c>
    </row>
    <row r="424" spans="1:7" x14ac:dyDescent="0.35">
      <c r="A424" t="s">
        <v>572</v>
      </c>
      <c r="B424" t="s">
        <v>233</v>
      </c>
      <c r="C424" t="s">
        <v>480</v>
      </c>
      <c r="D424" t="s">
        <v>481</v>
      </c>
      <c r="E424" t="s">
        <v>11</v>
      </c>
      <c r="F424" t="s">
        <v>12</v>
      </c>
      <c r="G424" s="4">
        <v>-2035.47</v>
      </c>
    </row>
    <row r="425" spans="1:7" x14ac:dyDescent="0.35">
      <c r="A425" t="s">
        <v>573</v>
      </c>
      <c r="B425" t="s">
        <v>574</v>
      </c>
      <c r="C425" t="s">
        <v>480</v>
      </c>
      <c r="D425" t="s">
        <v>481</v>
      </c>
      <c r="E425" t="s">
        <v>11</v>
      </c>
      <c r="F425" t="s">
        <v>12</v>
      </c>
      <c r="G425" s="4">
        <v>-640.16</v>
      </c>
    </row>
    <row r="426" spans="1:7" x14ac:dyDescent="0.35">
      <c r="A426" t="s">
        <v>575</v>
      </c>
      <c r="B426" t="s">
        <v>120</v>
      </c>
      <c r="C426" t="s">
        <v>480</v>
      </c>
      <c r="D426" t="s">
        <v>481</v>
      </c>
      <c r="E426" t="s">
        <v>11</v>
      </c>
      <c r="F426" t="s">
        <v>12</v>
      </c>
      <c r="G426" s="4">
        <v>-1655.34</v>
      </c>
    </row>
    <row r="427" spans="1:7" x14ac:dyDescent="0.35">
      <c r="A427" t="s">
        <v>576</v>
      </c>
      <c r="B427" t="s">
        <v>577</v>
      </c>
      <c r="C427" t="s">
        <v>480</v>
      </c>
      <c r="D427" t="s">
        <v>481</v>
      </c>
      <c r="E427" t="s">
        <v>11</v>
      </c>
      <c r="F427" t="s">
        <v>12</v>
      </c>
      <c r="G427" s="4">
        <v>-1724.81</v>
      </c>
    </row>
    <row r="428" spans="1:7" x14ac:dyDescent="0.35">
      <c r="A428" t="s">
        <v>578</v>
      </c>
      <c r="B428" t="s">
        <v>579</v>
      </c>
      <c r="C428" t="s">
        <v>480</v>
      </c>
      <c r="D428" t="s">
        <v>481</v>
      </c>
      <c r="E428" t="s">
        <v>11</v>
      </c>
      <c r="F428" t="s">
        <v>12</v>
      </c>
      <c r="G428" s="4">
        <v>-2243.02</v>
      </c>
    </row>
    <row r="429" spans="1:7" x14ac:dyDescent="0.35">
      <c r="A429" t="s">
        <v>580</v>
      </c>
      <c r="B429" t="s">
        <v>284</v>
      </c>
      <c r="C429" t="s">
        <v>480</v>
      </c>
      <c r="D429" t="s">
        <v>481</v>
      </c>
      <c r="E429" t="s">
        <v>11</v>
      </c>
      <c r="F429" t="s">
        <v>12</v>
      </c>
      <c r="G429" s="4">
        <v>-667.85</v>
      </c>
    </row>
    <row r="430" spans="1:7" x14ac:dyDescent="0.35">
      <c r="A430" t="s">
        <v>581</v>
      </c>
      <c r="B430" t="s">
        <v>158</v>
      </c>
      <c r="C430" t="s">
        <v>480</v>
      </c>
      <c r="D430" t="s">
        <v>481</v>
      </c>
      <c r="E430" t="s">
        <v>11</v>
      </c>
      <c r="F430" t="s">
        <v>12</v>
      </c>
      <c r="G430" s="4">
        <v>-1357.8</v>
      </c>
    </row>
    <row r="431" spans="1:7" x14ac:dyDescent="0.35">
      <c r="A431" t="s">
        <v>582</v>
      </c>
      <c r="B431" t="s">
        <v>536</v>
      </c>
      <c r="C431" t="s">
        <v>480</v>
      </c>
      <c r="D431" t="s">
        <v>481</v>
      </c>
      <c r="E431" t="s">
        <v>11</v>
      </c>
      <c r="F431" t="s">
        <v>12</v>
      </c>
      <c r="G431" s="4">
        <v>-1782.89</v>
      </c>
    </row>
    <row r="432" spans="1:7" x14ac:dyDescent="0.35">
      <c r="A432" t="s">
        <v>583</v>
      </c>
      <c r="B432" t="s">
        <v>345</v>
      </c>
      <c r="C432" t="s">
        <v>480</v>
      </c>
      <c r="D432" t="s">
        <v>481</v>
      </c>
      <c r="E432" t="s">
        <v>11</v>
      </c>
      <c r="F432" t="s">
        <v>12</v>
      </c>
      <c r="G432" s="4">
        <v>-1534.26</v>
      </c>
    </row>
    <row r="433" spans="1:7" x14ac:dyDescent="0.35">
      <c r="A433" t="s">
        <v>584</v>
      </c>
      <c r="B433" t="s">
        <v>585</v>
      </c>
      <c r="C433" t="s">
        <v>480</v>
      </c>
      <c r="D433" t="s">
        <v>481</v>
      </c>
      <c r="E433" t="s">
        <v>11</v>
      </c>
      <c r="F433" t="s">
        <v>12</v>
      </c>
      <c r="G433" s="4">
        <v>-1936.14</v>
      </c>
    </row>
    <row r="434" spans="1:7" x14ac:dyDescent="0.35">
      <c r="A434" t="s">
        <v>586</v>
      </c>
      <c r="B434" t="s">
        <v>156</v>
      </c>
      <c r="C434" t="s">
        <v>480</v>
      </c>
      <c r="D434" t="s">
        <v>481</v>
      </c>
      <c r="E434" t="s">
        <v>11</v>
      </c>
      <c r="F434" t="s">
        <v>12</v>
      </c>
      <c r="G434" s="4">
        <v>-1734.99</v>
      </c>
    </row>
    <row r="435" spans="1:7" x14ac:dyDescent="0.35">
      <c r="A435" t="s">
        <v>587</v>
      </c>
      <c r="B435" t="s">
        <v>588</v>
      </c>
      <c r="C435" t="s">
        <v>480</v>
      </c>
      <c r="D435" t="s">
        <v>481</v>
      </c>
      <c r="E435" t="s">
        <v>11</v>
      </c>
      <c r="F435" t="s">
        <v>12</v>
      </c>
      <c r="G435" s="4">
        <v>-2130.84</v>
      </c>
    </row>
    <row r="436" spans="1:7" x14ac:dyDescent="0.35">
      <c r="A436" t="s">
        <v>589</v>
      </c>
      <c r="B436" t="s">
        <v>59</v>
      </c>
      <c r="C436" t="s">
        <v>480</v>
      </c>
      <c r="D436" t="s">
        <v>481</v>
      </c>
      <c r="E436" t="s">
        <v>11</v>
      </c>
      <c r="F436" t="s">
        <v>12</v>
      </c>
      <c r="G436" s="4">
        <v>-1125.51</v>
      </c>
    </row>
    <row r="437" spans="1:7" x14ac:dyDescent="0.35">
      <c r="A437" t="s">
        <v>590</v>
      </c>
      <c r="B437" t="s">
        <v>588</v>
      </c>
      <c r="C437" t="s">
        <v>480</v>
      </c>
      <c r="D437" t="s">
        <v>481</v>
      </c>
      <c r="E437" t="s">
        <v>11</v>
      </c>
      <c r="F437" t="s">
        <v>12</v>
      </c>
      <c r="G437" s="4">
        <v>-2333.92</v>
      </c>
    </row>
    <row r="438" spans="1:7" x14ac:dyDescent="0.35">
      <c r="A438" t="s">
        <v>591</v>
      </c>
      <c r="B438" t="s">
        <v>173</v>
      </c>
      <c r="C438" t="s">
        <v>480</v>
      </c>
      <c r="D438" t="s">
        <v>481</v>
      </c>
      <c r="E438" t="s">
        <v>11</v>
      </c>
      <c r="F438" t="s">
        <v>12</v>
      </c>
      <c r="G438" s="4">
        <v>-1160.42</v>
      </c>
    </row>
    <row r="439" spans="1:7" x14ac:dyDescent="0.35">
      <c r="A439" t="s">
        <v>592</v>
      </c>
      <c r="B439" t="s">
        <v>493</v>
      </c>
      <c r="C439" t="s">
        <v>480</v>
      </c>
      <c r="D439" t="s">
        <v>481</v>
      </c>
      <c r="E439" t="s">
        <v>11</v>
      </c>
      <c r="F439" t="s">
        <v>12</v>
      </c>
      <c r="G439" s="4">
        <v>-1752.84</v>
      </c>
    </row>
    <row r="440" spans="1:7" x14ac:dyDescent="0.35">
      <c r="A440" t="s">
        <v>593</v>
      </c>
      <c r="B440" t="s">
        <v>65</v>
      </c>
      <c r="C440" t="s">
        <v>480</v>
      </c>
      <c r="D440" t="s">
        <v>481</v>
      </c>
      <c r="E440" t="s">
        <v>11</v>
      </c>
      <c r="F440" t="s">
        <v>12</v>
      </c>
      <c r="G440" s="4">
        <v>-1368.59</v>
      </c>
    </row>
    <row r="441" spans="1:7" x14ac:dyDescent="0.35">
      <c r="A441" t="s">
        <v>594</v>
      </c>
      <c r="B441" t="s">
        <v>49</v>
      </c>
      <c r="C441" t="s">
        <v>480</v>
      </c>
      <c r="D441" t="s">
        <v>481</v>
      </c>
      <c r="E441" t="s">
        <v>11</v>
      </c>
      <c r="F441" t="s">
        <v>12</v>
      </c>
      <c r="G441" s="4">
        <v>-1976.9</v>
      </c>
    </row>
    <row r="442" spans="1:7" x14ac:dyDescent="0.35">
      <c r="A442" t="s">
        <v>595</v>
      </c>
      <c r="B442" t="s">
        <v>596</v>
      </c>
      <c r="C442" t="s">
        <v>480</v>
      </c>
      <c r="D442" t="s">
        <v>481</v>
      </c>
      <c r="E442" t="s">
        <v>11</v>
      </c>
      <c r="F442" t="s">
        <v>12</v>
      </c>
      <c r="G442" s="4">
        <v>-1434.1</v>
      </c>
    </row>
    <row r="443" spans="1:7" x14ac:dyDescent="0.35">
      <c r="A443" t="s">
        <v>597</v>
      </c>
      <c r="B443" t="s">
        <v>374</v>
      </c>
      <c r="C443" t="s">
        <v>480</v>
      </c>
      <c r="D443" t="s">
        <v>481</v>
      </c>
      <c r="E443" t="s">
        <v>11</v>
      </c>
      <c r="F443" t="s">
        <v>12</v>
      </c>
      <c r="G443" s="4">
        <v>-2191.69</v>
      </c>
    </row>
    <row r="444" spans="1:7" x14ac:dyDescent="0.35">
      <c r="A444" t="s">
        <v>598</v>
      </c>
      <c r="B444" t="s">
        <v>164</v>
      </c>
      <c r="C444" t="s">
        <v>480</v>
      </c>
      <c r="D444" t="s">
        <v>481</v>
      </c>
      <c r="E444" t="s">
        <v>11</v>
      </c>
      <c r="F444" t="s">
        <v>12</v>
      </c>
      <c r="G444" s="4">
        <v>-676.44</v>
      </c>
    </row>
    <row r="445" spans="1:7" x14ac:dyDescent="0.35">
      <c r="A445" t="s">
        <v>599</v>
      </c>
      <c r="B445" t="s">
        <v>600</v>
      </c>
      <c r="C445" t="s">
        <v>480</v>
      </c>
      <c r="D445" t="s">
        <v>481</v>
      </c>
      <c r="E445" t="s">
        <v>11</v>
      </c>
      <c r="F445" t="s">
        <v>12</v>
      </c>
      <c r="G445" s="4">
        <v>-760.65</v>
      </c>
    </row>
    <row r="446" spans="1:7" x14ac:dyDescent="0.35">
      <c r="A446" t="s">
        <v>601</v>
      </c>
      <c r="B446" t="s">
        <v>602</v>
      </c>
      <c r="C446" t="s">
        <v>480</v>
      </c>
      <c r="D446" t="s">
        <v>481</v>
      </c>
      <c r="E446" t="s">
        <v>11</v>
      </c>
      <c r="F446" t="s">
        <v>12</v>
      </c>
      <c r="G446" s="4">
        <v>-1069.5899999999999</v>
      </c>
    </row>
    <row r="447" spans="1:7" x14ac:dyDescent="0.35">
      <c r="A447" t="s">
        <v>603</v>
      </c>
      <c r="B447" t="s">
        <v>604</v>
      </c>
      <c r="C447" t="s">
        <v>480</v>
      </c>
      <c r="D447" t="s">
        <v>481</v>
      </c>
      <c r="E447" t="s">
        <v>11</v>
      </c>
      <c r="F447" t="s">
        <v>12</v>
      </c>
      <c r="G447" s="4">
        <v>-1029.04</v>
      </c>
    </row>
    <row r="448" spans="1:7" x14ac:dyDescent="0.35">
      <c r="A448" t="s">
        <v>605</v>
      </c>
      <c r="B448" t="s">
        <v>59</v>
      </c>
      <c r="C448" t="s">
        <v>480</v>
      </c>
      <c r="D448" t="s">
        <v>481</v>
      </c>
      <c r="E448" t="s">
        <v>11</v>
      </c>
      <c r="F448" t="s">
        <v>12</v>
      </c>
      <c r="G448" s="4">
        <v>-1592.7</v>
      </c>
    </row>
    <row r="449" spans="1:7" x14ac:dyDescent="0.35">
      <c r="A449" t="s">
        <v>606</v>
      </c>
      <c r="B449" t="s">
        <v>607</v>
      </c>
      <c r="C449" t="s">
        <v>480</v>
      </c>
      <c r="D449" t="s">
        <v>481</v>
      </c>
      <c r="E449" t="s">
        <v>11</v>
      </c>
      <c r="F449" t="s">
        <v>12</v>
      </c>
      <c r="G449" s="4">
        <v>-1463.63</v>
      </c>
    </row>
    <row r="450" spans="1:7" x14ac:dyDescent="0.35">
      <c r="A450" t="s">
        <v>608</v>
      </c>
      <c r="B450" t="s">
        <v>609</v>
      </c>
      <c r="C450" t="s">
        <v>480</v>
      </c>
      <c r="D450" t="s">
        <v>481</v>
      </c>
      <c r="E450" t="s">
        <v>11</v>
      </c>
      <c r="F450" t="s">
        <v>12</v>
      </c>
      <c r="G450" s="4">
        <v>-1581.87</v>
      </c>
    </row>
    <row r="451" spans="1:7" x14ac:dyDescent="0.35">
      <c r="A451" t="s">
        <v>610</v>
      </c>
      <c r="B451" t="s">
        <v>611</v>
      </c>
      <c r="C451" t="s">
        <v>480</v>
      </c>
      <c r="D451" t="s">
        <v>481</v>
      </c>
      <c r="E451" t="s">
        <v>11</v>
      </c>
      <c r="F451" t="s">
        <v>12</v>
      </c>
      <c r="G451" s="4">
        <v>-1573.13</v>
      </c>
    </row>
    <row r="452" spans="1:7" x14ac:dyDescent="0.35">
      <c r="A452" t="s">
        <v>612</v>
      </c>
      <c r="B452" t="s">
        <v>613</v>
      </c>
      <c r="C452" t="s">
        <v>480</v>
      </c>
      <c r="D452" t="s">
        <v>481</v>
      </c>
      <c r="E452" t="s">
        <v>11</v>
      </c>
      <c r="F452" t="s">
        <v>12</v>
      </c>
      <c r="G452" s="4">
        <v>-1300.93</v>
      </c>
    </row>
    <row r="453" spans="1:7" x14ac:dyDescent="0.35">
      <c r="A453" t="s">
        <v>614</v>
      </c>
      <c r="B453" t="s">
        <v>609</v>
      </c>
      <c r="C453" t="s">
        <v>480</v>
      </c>
      <c r="D453" t="s">
        <v>481</v>
      </c>
      <c r="E453" t="s">
        <v>11</v>
      </c>
      <c r="F453" t="s">
        <v>12</v>
      </c>
      <c r="G453" s="4">
        <v>-2198.09</v>
      </c>
    </row>
    <row r="454" spans="1:7" x14ac:dyDescent="0.35">
      <c r="A454" t="s">
        <v>615</v>
      </c>
      <c r="B454" t="s">
        <v>244</v>
      </c>
      <c r="C454" t="s">
        <v>480</v>
      </c>
      <c r="D454" t="s">
        <v>481</v>
      </c>
      <c r="E454" t="s">
        <v>11</v>
      </c>
      <c r="F454" t="s">
        <v>12</v>
      </c>
      <c r="G454" s="4">
        <v>-1721.65</v>
      </c>
    </row>
    <row r="455" spans="1:7" x14ac:dyDescent="0.35">
      <c r="A455" t="s">
        <v>616</v>
      </c>
      <c r="B455" t="s">
        <v>498</v>
      </c>
      <c r="C455" t="s">
        <v>480</v>
      </c>
      <c r="D455" t="s">
        <v>481</v>
      </c>
      <c r="E455" t="s">
        <v>11</v>
      </c>
      <c r="F455" t="s">
        <v>12</v>
      </c>
      <c r="G455" s="4">
        <v>-676.96</v>
      </c>
    </row>
    <row r="456" spans="1:7" x14ac:dyDescent="0.35">
      <c r="A456" t="s">
        <v>617</v>
      </c>
      <c r="B456" t="s">
        <v>618</v>
      </c>
      <c r="C456" t="s">
        <v>480</v>
      </c>
      <c r="D456" t="s">
        <v>481</v>
      </c>
      <c r="E456" t="s">
        <v>11</v>
      </c>
      <c r="F456" t="s">
        <v>12</v>
      </c>
      <c r="G456" s="4">
        <v>-1884.3</v>
      </c>
    </row>
    <row r="457" spans="1:7" x14ac:dyDescent="0.35">
      <c r="A457" t="s">
        <v>619</v>
      </c>
      <c r="B457" t="s">
        <v>620</v>
      </c>
      <c r="C457" t="s">
        <v>480</v>
      </c>
      <c r="D457" t="s">
        <v>481</v>
      </c>
      <c r="E457" t="s">
        <v>11</v>
      </c>
      <c r="F457" t="s">
        <v>12</v>
      </c>
      <c r="G457" s="4">
        <v>-886</v>
      </c>
    </row>
    <row r="458" spans="1:7" x14ac:dyDescent="0.35">
      <c r="A458" t="s">
        <v>621</v>
      </c>
      <c r="B458" t="s">
        <v>622</v>
      </c>
      <c r="C458" t="s">
        <v>480</v>
      </c>
      <c r="D458" t="s">
        <v>481</v>
      </c>
      <c r="E458" t="s">
        <v>11</v>
      </c>
      <c r="F458" t="s">
        <v>12</v>
      </c>
      <c r="G458" s="4">
        <v>-1695.42</v>
      </c>
    </row>
    <row r="459" spans="1:7" x14ac:dyDescent="0.35">
      <c r="A459" t="s">
        <v>623</v>
      </c>
      <c r="B459" t="s">
        <v>624</v>
      </c>
      <c r="C459" t="s">
        <v>480</v>
      </c>
      <c r="D459" t="s">
        <v>481</v>
      </c>
      <c r="E459" t="s">
        <v>11</v>
      </c>
      <c r="F459" t="s">
        <v>12</v>
      </c>
      <c r="G459" s="4">
        <v>-1547.32</v>
      </c>
    </row>
    <row r="460" spans="1:7" x14ac:dyDescent="0.35">
      <c r="A460" t="s">
        <v>625</v>
      </c>
      <c r="B460" t="s">
        <v>200</v>
      </c>
      <c r="C460" t="s">
        <v>480</v>
      </c>
      <c r="D460" t="s">
        <v>481</v>
      </c>
      <c r="E460" t="s">
        <v>11</v>
      </c>
      <c r="F460" t="s">
        <v>12</v>
      </c>
      <c r="G460" s="4">
        <v>-1773.15</v>
      </c>
    </row>
    <row r="461" spans="1:7" x14ac:dyDescent="0.35">
      <c r="A461" t="s">
        <v>626</v>
      </c>
      <c r="B461" t="s">
        <v>627</v>
      </c>
      <c r="C461" t="s">
        <v>480</v>
      </c>
      <c r="D461" t="s">
        <v>481</v>
      </c>
      <c r="E461" t="s">
        <v>11</v>
      </c>
      <c r="F461" t="s">
        <v>12</v>
      </c>
      <c r="G461" s="4">
        <v>-2225.71</v>
      </c>
    </row>
    <row r="462" spans="1:7" x14ac:dyDescent="0.35">
      <c r="A462" t="s">
        <v>628</v>
      </c>
      <c r="B462" t="s">
        <v>207</v>
      </c>
      <c r="C462" t="s">
        <v>480</v>
      </c>
      <c r="D462" t="s">
        <v>481</v>
      </c>
      <c r="E462" t="s">
        <v>11</v>
      </c>
      <c r="F462" t="s">
        <v>12</v>
      </c>
      <c r="G462" s="4">
        <v>-2215.86</v>
      </c>
    </row>
    <row r="463" spans="1:7" x14ac:dyDescent="0.35">
      <c r="A463" t="s">
        <v>629</v>
      </c>
      <c r="B463" t="s">
        <v>114</v>
      </c>
      <c r="C463" t="s">
        <v>480</v>
      </c>
      <c r="D463" t="s">
        <v>481</v>
      </c>
      <c r="E463" t="s">
        <v>11</v>
      </c>
      <c r="F463" t="s">
        <v>12</v>
      </c>
      <c r="G463" s="4">
        <v>-935.38</v>
      </c>
    </row>
    <row r="464" spans="1:7" x14ac:dyDescent="0.35">
      <c r="A464" t="s">
        <v>630</v>
      </c>
      <c r="B464" t="s">
        <v>420</v>
      </c>
      <c r="C464" t="s">
        <v>480</v>
      </c>
      <c r="D464" t="s">
        <v>481</v>
      </c>
      <c r="E464" t="s">
        <v>11</v>
      </c>
      <c r="F464" t="s">
        <v>12</v>
      </c>
      <c r="G464" s="4">
        <v>-1183.1400000000001</v>
      </c>
    </row>
    <row r="465" spans="1:7" x14ac:dyDescent="0.35">
      <c r="A465" t="s">
        <v>631</v>
      </c>
      <c r="B465" t="s">
        <v>127</v>
      </c>
      <c r="C465" t="s">
        <v>480</v>
      </c>
      <c r="D465" t="s">
        <v>481</v>
      </c>
      <c r="E465" t="s">
        <v>11</v>
      </c>
      <c r="F465" t="s">
        <v>12</v>
      </c>
      <c r="G465" s="4">
        <v>-1625.27</v>
      </c>
    </row>
    <row r="466" spans="1:7" x14ac:dyDescent="0.35">
      <c r="A466" t="s">
        <v>632</v>
      </c>
      <c r="B466" t="s">
        <v>633</v>
      </c>
      <c r="C466" t="s">
        <v>480</v>
      </c>
      <c r="D466" t="s">
        <v>481</v>
      </c>
      <c r="E466" t="s">
        <v>11</v>
      </c>
      <c r="F466" t="s">
        <v>12</v>
      </c>
      <c r="G466" s="4">
        <v>-2498.5700000000002</v>
      </c>
    </row>
    <row r="467" spans="1:7" x14ac:dyDescent="0.35">
      <c r="A467" t="s">
        <v>634</v>
      </c>
      <c r="B467" t="s">
        <v>550</v>
      </c>
      <c r="C467" t="s">
        <v>480</v>
      </c>
      <c r="D467" t="s">
        <v>481</v>
      </c>
      <c r="E467" t="s">
        <v>11</v>
      </c>
      <c r="F467" t="s">
        <v>12</v>
      </c>
      <c r="G467" s="4">
        <v>-1318.33</v>
      </c>
    </row>
    <row r="468" spans="1:7" x14ac:dyDescent="0.35">
      <c r="A468" t="s">
        <v>635</v>
      </c>
      <c r="B468" t="s">
        <v>438</v>
      </c>
      <c r="C468" t="s">
        <v>480</v>
      </c>
      <c r="D468" t="s">
        <v>481</v>
      </c>
      <c r="E468" t="s">
        <v>11</v>
      </c>
      <c r="F468" t="s">
        <v>12</v>
      </c>
      <c r="G468" s="4">
        <v>-1671.01</v>
      </c>
    </row>
    <row r="469" spans="1:7" x14ac:dyDescent="0.35">
      <c r="A469" t="s">
        <v>636</v>
      </c>
      <c r="B469" t="s">
        <v>579</v>
      </c>
      <c r="C469" t="s">
        <v>480</v>
      </c>
      <c r="D469" t="s">
        <v>481</v>
      </c>
      <c r="E469" t="s">
        <v>11</v>
      </c>
      <c r="F469" t="s">
        <v>12</v>
      </c>
      <c r="G469" s="4">
        <v>-1931.59</v>
      </c>
    </row>
    <row r="470" spans="1:7" x14ac:dyDescent="0.35">
      <c r="A470" t="s">
        <v>637</v>
      </c>
      <c r="B470" t="s">
        <v>638</v>
      </c>
      <c r="C470" t="s">
        <v>480</v>
      </c>
      <c r="D470" t="s">
        <v>481</v>
      </c>
      <c r="E470" t="s">
        <v>11</v>
      </c>
      <c r="F470" t="s">
        <v>12</v>
      </c>
      <c r="G470" s="4">
        <v>-1126.56</v>
      </c>
    </row>
    <row r="471" spans="1:7" x14ac:dyDescent="0.35">
      <c r="A471" t="s">
        <v>639</v>
      </c>
      <c r="B471" t="s">
        <v>596</v>
      </c>
      <c r="C471" t="s">
        <v>480</v>
      </c>
      <c r="D471" t="s">
        <v>481</v>
      </c>
      <c r="E471" t="s">
        <v>11</v>
      </c>
      <c r="F471" t="s">
        <v>12</v>
      </c>
      <c r="G471" s="4">
        <v>-828.08</v>
      </c>
    </row>
    <row r="472" spans="1:7" x14ac:dyDescent="0.35">
      <c r="A472" t="s">
        <v>640</v>
      </c>
      <c r="B472" t="s">
        <v>382</v>
      </c>
      <c r="C472" t="s">
        <v>480</v>
      </c>
      <c r="D472" t="s">
        <v>481</v>
      </c>
      <c r="E472" t="s">
        <v>11</v>
      </c>
      <c r="F472" t="s">
        <v>12</v>
      </c>
      <c r="G472" s="4">
        <v>-2031.58</v>
      </c>
    </row>
    <row r="473" spans="1:7" x14ac:dyDescent="0.35">
      <c r="A473" t="s">
        <v>641</v>
      </c>
      <c r="B473" t="s">
        <v>408</v>
      </c>
      <c r="C473" t="s">
        <v>480</v>
      </c>
      <c r="D473" t="s">
        <v>481</v>
      </c>
      <c r="E473" t="s">
        <v>11</v>
      </c>
      <c r="F473" t="s">
        <v>12</v>
      </c>
      <c r="G473" s="4">
        <v>-1723.17</v>
      </c>
    </row>
    <row r="474" spans="1:7" x14ac:dyDescent="0.35">
      <c r="A474" t="s">
        <v>642</v>
      </c>
      <c r="B474" t="s">
        <v>474</v>
      </c>
      <c r="C474" t="s">
        <v>480</v>
      </c>
      <c r="D474" t="s">
        <v>481</v>
      </c>
      <c r="E474" t="s">
        <v>11</v>
      </c>
      <c r="F474" t="s">
        <v>12</v>
      </c>
      <c r="G474" s="4">
        <v>-1203.07</v>
      </c>
    </row>
    <row r="475" spans="1:7" x14ac:dyDescent="0.35">
      <c r="A475" t="s">
        <v>643</v>
      </c>
      <c r="B475" t="s">
        <v>476</v>
      </c>
      <c r="C475" t="s">
        <v>480</v>
      </c>
      <c r="D475" t="s">
        <v>481</v>
      </c>
      <c r="E475" t="s">
        <v>11</v>
      </c>
      <c r="F475" t="s">
        <v>12</v>
      </c>
      <c r="G475" s="4">
        <v>-1704.65</v>
      </c>
    </row>
    <row r="476" spans="1:7" x14ac:dyDescent="0.35">
      <c r="A476" t="s">
        <v>644</v>
      </c>
      <c r="B476" t="s">
        <v>202</v>
      </c>
      <c r="C476" t="s">
        <v>480</v>
      </c>
      <c r="D476" t="s">
        <v>481</v>
      </c>
      <c r="E476" t="s">
        <v>11</v>
      </c>
      <c r="F476" t="s">
        <v>12</v>
      </c>
      <c r="G476" s="4">
        <v>-2067.27</v>
      </c>
    </row>
    <row r="477" spans="1:7" x14ac:dyDescent="0.35">
      <c r="A477" t="s">
        <v>645</v>
      </c>
      <c r="B477" t="s">
        <v>249</v>
      </c>
      <c r="C477" t="s">
        <v>480</v>
      </c>
      <c r="D477" t="s">
        <v>481</v>
      </c>
      <c r="E477" t="s">
        <v>11</v>
      </c>
      <c r="F477" t="s">
        <v>12</v>
      </c>
      <c r="G477" s="4">
        <v>-1138.8800000000001</v>
      </c>
    </row>
    <row r="478" spans="1:7" x14ac:dyDescent="0.35">
      <c r="A478" t="s">
        <v>646</v>
      </c>
      <c r="B478" t="s">
        <v>87</v>
      </c>
      <c r="C478" t="s">
        <v>480</v>
      </c>
      <c r="D478" t="s">
        <v>481</v>
      </c>
      <c r="E478" t="s">
        <v>11</v>
      </c>
      <c r="F478" t="s">
        <v>12</v>
      </c>
      <c r="G478" s="4">
        <v>-2451.15</v>
      </c>
    </row>
    <row r="479" spans="1:7" x14ac:dyDescent="0.35">
      <c r="A479" t="s">
        <v>647</v>
      </c>
      <c r="B479" t="s">
        <v>622</v>
      </c>
      <c r="C479" t="s">
        <v>480</v>
      </c>
      <c r="D479" t="s">
        <v>481</v>
      </c>
      <c r="E479" t="s">
        <v>11</v>
      </c>
      <c r="F479" t="s">
        <v>12</v>
      </c>
      <c r="G479" s="4">
        <v>-631.30999999999995</v>
      </c>
    </row>
    <row r="480" spans="1:7" x14ac:dyDescent="0.35">
      <c r="A480" t="s">
        <v>648</v>
      </c>
      <c r="B480" t="s">
        <v>649</v>
      </c>
      <c r="C480" t="s">
        <v>480</v>
      </c>
      <c r="D480" t="s">
        <v>481</v>
      </c>
      <c r="E480" t="s">
        <v>11</v>
      </c>
      <c r="F480" t="s">
        <v>12</v>
      </c>
      <c r="G480" s="4">
        <v>-1792.13</v>
      </c>
    </row>
    <row r="481" spans="1:7" x14ac:dyDescent="0.35">
      <c r="A481" t="s">
        <v>650</v>
      </c>
      <c r="B481" t="s">
        <v>266</v>
      </c>
      <c r="C481" t="s">
        <v>480</v>
      </c>
      <c r="D481" t="s">
        <v>481</v>
      </c>
      <c r="E481" t="s">
        <v>11</v>
      </c>
      <c r="F481" t="s">
        <v>12</v>
      </c>
      <c r="G481" s="4">
        <v>-1824.02</v>
      </c>
    </row>
    <row r="482" spans="1:7" x14ac:dyDescent="0.35">
      <c r="A482" t="s">
        <v>651</v>
      </c>
      <c r="B482" t="s">
        <v>47</v>
      </c>
      <c r="C482" t="s">
        <v>480</v>
      </c>
      <c r="D482" t="s">
        <v>481</v>
      </c>
      <c r="E482" t="s">
        <v>11</v>
      </c>
      <c r="F482" t="s">
        <v>12</v>
      </c>
      <c r="G482" s="4">
        <v>-1408.98</v>
      </c>
    </row>
    <row r="483" spans="1:7" x14ac:dyDescent="0.35">
      <c r="A483" t="s">
        <v>652</v>
      </c>
      <c r="B483" t="s">
        <v>609</v>
      </c>
      <c r="C483" t="s">
        <v>480</v>
      </c>
      <c r="D483" t="s">
        <v>481</v>
      </c>
      <c r="E483" t="s">
        <v>11</v>
      </c>
      <c r="F483" t="s">
        <v>12</v>
      </c>
      <c r="G483" s="4">
        <v>-1002.1</v>
      </c>
    </row>
    <row r="484" spans="1:7" x14ac:dyDescent="0.35">
      <c r="A484" t="s">
        <v>653</v>
      </c>
      <c r="B484" t="s">
        <v>164</v>
      </c>
      <c r="C484" t="s">
        <v>654</v>
      </c>
      <c r="D484" t="s">
        <v>655</v>
      </c>
      <c r="E484" t="s">
        <v>656</v>
      </c>
      <c r="F484" t="s">
        <v>657</v>
      </c>
      <c r="G484" s="4">
        <v>241.88</v>
      </c>
    </row>
    <row r="485" spans="1:7" x14ac:dyDescent="0.35">
      <c r="A485" t="s">
        <v>658</v>
      </c>
      <c r="B485" t="s">
        <v>659</v>
      </c>
      <c r="C485" t="s">
        <v>654</v>
      </c>
      <c r="D485" t="s">
        <v>655</v>
      </c>
      <c r="E485" t="s">
        <v>656</v>
      </c>
      <c r="F485" t="s">
        <v>657</v>
      </c>
      <c r="G485" s="4">
        <v>946.96</v>
      </c>
    </row>
    <row r="486" spans="1:7" x14ac:dyDescent="0.35">
      <c r="A486" t="s">
        <v>660</v>
      </c>
      <c r="B486" t="s">
        <v>562</v>
      </c>
      <c r="C486" t="s">
        <v>654</v>
      </c>
      <c r="D486" t="s">
        <v>655</v>
      </c>
      <c r="E486" t="s">
        <v>656</v>
      </c>
      <c r="F486" t="s">
        <v>657</v>
      </c>
      <c r="G486" s="4">
        <v>799.86</v>
      </c>
    </row>
    <row r="487" spans="1:7" x14ac:dyDescent="0.35">
      <c r="A487" t="s">
        <v>661</v>
      </c>
      <c r="B487" t="s">
        <v>93</v>
      </c>
      <c r="C487" t="s">
        <v>654</v>
      </c>
      <c r="D487" t="s">
        <v>655</v>
      </c>
      <c r="E487" t="s">
        <v>656</v>
      </c>
      <c r="F487" t="s">
        <v>657</v>
      </c>
      <c r="G487" s="4">
        <v>587.34</v>
      </c>
    </row>
    <row r="488" spans="1:7" x14ac:dyDescent="0.35">
      <c r="A488" t="s">
        <v>662</v>
      </c>
      <c r="B488" t="s">
        <v>663</v>
      </c>
      <c r="C488" t="s">
        <v>654</v>
      </c>
      <c r="D488" t="s">
        <v>655</v>
      </c>
      <c r="E488" t="s">
        <v>656</v>
      </c>
      <c r="F488" t="s">
        <v>657</v>
      </c>
      <c r="G488" s="4">
        <v>857.67</v>
      </c>
    </row>
    <row r="489" spans="1:7" x14ac:dyDescent="0.35">
      <c r="A489" t="s">
        <v>664</v>
      </c>
      <c r="B489" t="s">
        <v>178</v>
      </c>
      <c r="C489" t="s">
        <v>654</v>
      </c>
      <c r="D489" t="s">
        <v>655</v>
      </c>
      <c r="E489" t="s">
        <v>656</v>
      </c>
      <c r="F489" t="s">
        <v>657</v>
      </c>
      <c r="G489" s="4">
        <v>325.8</v>
      </c>
    </row>
    <row r="490" spans="1:7" x14ac:dyDescent="0.35">
      <c r="A490" t="s">
        <v>665</v>
      </c>
      <c r="B490" t="s">
        <v>524</v>
      </c>
      <c r="C490" t="s">
        <v>654</v>
      </c>
      <c r="D490" t="s">
        <v>655</v>
      </c>
      <c r="E490" t="s">
        <v>656</v>
      </c>
      <c r="F490" t="s">
        <v>657</v>
      </c>
      <c r="G490" s="4">
        <v>662.24</v>
      </c>
    </row>
    <row r="491" spans="1:7" x14ac:dyDescent="0.35">
      <c r="A491" t="s">
        <v>666</v>
      </c>
      <c r="B491" t="s">
        <v>147</v>
      </c>
      <c r="C491" t="s">
        <v>654</v>
      </c>
      <c r="D491" t="s">
        <v>655</v>
      </c>
      <c r="E491" t="s">
        <v>656</v>
      </c>
      <c r="F491" t="s">
        <v>657</v>
      </c>
      <c r="G491" s="4">
        <v>157.06</v>
      </c>
    </row>
    <row r="492" spans="1:7" x14ac:dyDescent="0.35">
      <c r="A492" t="s">
        <v>667</v>
      </c>
      <c r="B492" t="s">
        <v>178</v>
      </c>
      <c r="C492" t="s">
        <v>654</v>
      </c>
      <c r="D492" t="s">
        <v>655</v>
      </c>
      <c r="E492" t="s">
        <v>656</v>
      </c>
      <c r="F492" t="s">
        <v>657</v>
      </c>
      <c r="G492" s="4">
        <v>838.77</v>
      </c>
    </row>
    <row r="493" spans="1:7" x14ac:dyDescent="0.35">
      <c r="A493" t="s">
        <v>668</v>
      </c>
      <c r="B493" t="s">
        <v>622</v>
      </c>
      <c r="C493" t="s">
        <v>654</v>
      </c>
      <c r="D493" t="s">
        <v>655</v>
      </c>
      <c r="E493" t="s">
        <v>656</v>
      </c>
      <c r="F493" t="s">
        <v>657</v>
      </c>
      <c r="G493" s="4">
        <v>114.89</v>
      </c>
    </row>
    <row r="494" spans="1:7" x14ac:dyDescent="0.35">
      <c r="A494" t="s">
        <v>669</v>
      </c>
      <c r="B494" t="s">
        <v>649</v>
      </c>
      <c r="C494" t="s">
        <v>654</v>
      </c>
      <c r="D494" t="s">
        <v>655</v>
      </c>
      <c r="E494" t="s">
        <v>656</v>
      </c>
      <c r="F494" t="s">
        <v>657</v>
      </c>
      <c r="G494" s="4">
        <v>752.05</v>
      </c>
    </row>
    <row r="495" spans="1:7" x14ac:dyDescent="0.35">
      <c r="A495" t="s">
        <v>670</v>
      </c>
      <c r="B495" t="s">
        <v>569</v>
      </c>
      <c r="C495" t="s">
        <v>654</v>
      </c>
      <c r="D495" t="s">
        <v>655</v>
      </c>
      <c r="E495" t="s">
        <v>656</v>
      </c>
      <c r="F495" t="s">
        <v>657</v>
      </c>
      <c r="G495" s="4">
        <v>976.4</v>
      </c>
    </row>
    <row r="496" spans="1:7" x14ac:dyDescent="0.35">
      <c r="A496" t="s">
        <v>671</v>
      </c>
      <c r="B496" t="s">
        <v>22</v>
      </c>
      <c r="C496" t="s">
        <v>654</v>
      </c>
      <c r="D496" t="s">
        <v>655</v>
      </c>
      <c r="E496" t="s">
        <v>656</v>
      </c>
      <c r="F496" t="s">
        <v>657</v>
      </c>
      <c r="G496" s="4">
        <v>232.89</v>
      </c>
    </row>
    <row r="497" spans="1:7" x14ac:dyDescent="0.35">
      <c r="A497" t="s">
        <v>672</v>
      </c>
      <c r="B497" t="s">
        <v>463</v>
      </c>
      <c r="C497" t="s">
        <v>654</v>
      </c>
      <c r="D497" t="s">
        <v>655</v>
      </c>
      <c r="E497" t="s">
        <v>656</v>
      </c>
      <c r="F497" t="s">
        <v>657</v>
      </c>
      <c r="G497" s="4">
        <v>524.5</v>
      </c>
    </row>
    <row r="498" spans="1:7" x14ac:dyDescent="0.35">
      <c r="A498" t="s">
        <v>673</v>
      </c>
      <c r="B498" t="s">
        <v>112</v>
      </c>
      <c r="C498" t="s">
        <v>654</v>
      </c>
      <c r="D498" t="s">
        <v>655</v>
      </c>
      <c r="E498" t="s">
        <v>656</v>
      </c>
      <c r="F498" t="s">
        <v>657</v>
      </c>
      <c r="G498" s="4">
        <v>393.72</v>
      </c>
    </row>
    <row r="499" spans="1:7" x14ac:dyDescent="0.35">
      <c r="A499" t="s">
        <v>674</v>
      </c>
      <c r="B499" t="s">
        <v>286</v>
      </c>
      <c r="C499" t="s">
        <v>654</v>
      </c>
      <c r="D499" t="s">
        <v>655</v>
      </c>
      <c r="E499" t="s">
        <v>656</v>
      </c>
      <c r="F499" t="s">
        <v>657</v>
      </c>
      <c r="G499" s="4">
        <v>752.95</v>
      </c>
    </row>
    <row r="500" spans="1:7" x14ac:dyDescent="0.35">
      <c r="A500" t="s">
        <v>675</v>
      </c>
      <c r="B500" t="s">
        <v>676</v>
      </c>
      <c r="C500" t="s">
        <v>654</v>
      </c>
      <c r="D500" t="s">
        <v>655</v>
      </c>
      <c r="E500" t="s">
        <v>656</v>
      </c>
      <c r="F500" t="s">
        <v>657</v>
      </c>
      <c r="G500" s="4">
        <v>546.30999999999995</v>
      </c>
    </row>
    <row r="501" spans="1:7" x14ac:dyDescent="0.35">
      <c r="A501" t="s">
        <v>677</v>
      </c>
      <c r="B501" t="s">
        <v>678</v>
      </c>
      <c r="C501" t="s">
        <v>654</v>
      </c>
      <c r="D501" t="s">
        <v>655</v>
      </c>
      <c r="E501" t="s">
        <v>656</v>
      </c>
      <c r="F501" t="s">
        <v>657</v>
      </c>
      <c r="G501" s="4">
        <v>498.69</v>
      </c>
    </row>
    <row r="502" spans="1:7" x14ac:dyDescent="0.35">
      <c r="A502" t="s">
        <v>679</v>
      </c>
      <c r="B502" t="s">
        <v>415</v>
      </c>
      <c r="C502" t="s">
        <v>654</v>
      </c>
      <c r="D502" t="s">
        <v>655</v>
      </c>
      <c r="E502" t="s">
        <v>656</v>
      </c>
      <c r="F502" t="s">
        <v>657</v>
      </c>
      <c r="G502" s="4">
        <v>233.11</v>
      </c>
    </row>
    <row r="503" spans="1:7" x14ac:dyDescent="0.35">
      <c r="A503" t="s">
        <v>680</v>
      </c>
      <c r="B503" t="s">
        <v>127</v>
      </c>
      <c r="C503" t="s">
        <v>654</v>
      </c>
      <c r="D503" t="s">
        <v>655</v>
      </c>
      <c r="E503" t="s">
        <v>656</v>
      </c>
      <c r="F503" t="s">
        <v>657</v>
      </c>
      <c r="G503" s="4">
        <v>755.69</v>
      </c>
    </row>
    <row r="504" spans="1:7" x14ac:dyDescent="0.35">
      <c r="A504" t="s">
        <v>681</v>
      </c>
      <c r="B504" t="s">
        <v>223</v>
      </c>
      <c r="C504" t="s">
        <v>654</v>
      </c>
      <c r="D504" t="s">
        <v>655</v>
      </c>
      <c r="E504" t="s">
        <v>656</v>
      </c>
      <c r="F504" t="s">
        <v>657</v>
      </c>
      <c r="G504" s="4">
        <v>355.5</v>
      </c>
    </row>
    <row r="505" spans="1:7" x14ac:dyDescent="0.35">
      <c r="A505" t="s">
        <v>682</v>
      </c>
      <c r="B505" t="s">
        <v>22</v>
      </c>
      <c r="C505" t="s">
        <v>654</v>
      </c>
      <c r="D505" t="s">
        <v>655</v>
      </c>
      <c r="E505" t="s">
        <v>656</v>
      </c>
      <c r="F505" t="s">
        <v>657</v>
      </c>
      <c r="G505" s="4">
        <v>599.82000000000005</v>
      </c>
    </row>
    <row r="506" spans="1:7" x14ac:dyDescent="0.35">
      <c r="A506" t="s">
        <v>683</v>
      </c>
      <c r="B506" t="s">
        <v>371</v>
      </c>
      <c r="C506" t="s">
        <v>654</v>
      </c>
      <c r="D506" t="s">
        <v>655</v>
      </c>
      <c r="E506" t="s">
        <v>656</v>
      </c>
      <c r="F506" t="s">
        <v>657</v>
      </c>
      <c r="G506" s="4">
        <v>999.33</v>
      </c>
    </row>
    <row r="507" spans="1:7" x14ac:dyDescent="0.35">
      <c r="A507" t="s">
        <v>684</v>
      </c>
      <c r="B507" t="s">
        <v>685</v>
      </c>
      <c r="C507" t="s">
        <v>654</v>
      </c>
      <c r="D507" t="s">
        <v>655</v>
      </c>
      <c r="E507" t="s">
        <v>656</v>
      </c>
      <c r="F507" t="s">
        <v>657</v>
      </c>
      <c r="G507" s="4">
        <v>153.32</v>
      </c>
    </row>
    <row r="508" spans="1:7" x14ac:dyDescent="0.35">
      <c r="A508" t="s">
        <v>686</v>
      </c>
      <c r="B508" t="s">
        <v>687</v>
      </c>
      <c r="C508" t="s">
        <v>654</v>
      </c>
      <c r="D508" t="s">
        <v>655</v>
      </c>
      <c r="E508" t="s">
        <v>656</v>
      </c>
      <c r="F508" t="s">
        <v>657</v>
      </c>
      <c r="G508" s="4">
        <v>437.59</v>
      </c>
    </row>
    <row r="509" spans="1:7" x14ac:dyDescent="0.35">
      <c r="A509" t="s">
        <v>688</v>
      </c>
      <c r="B509" t="s">
        <v>26</v>
      </c>
      <c r="C509" t="s">
        <v>654</v>
      </c>
      <c r="D509" t="s">
        <v>655</v>
      </c>
      <c r="E509" t="s">
        <v>656</v>
      </c>
      <c r="F509" t="s">
        <v>657</v>
      </c>
      <c r="G509" s="4">
        <v>494.95</v>
      </c>
    </row>
    <row r="510" spans="1:7" x14ac:dyDescent="0.35">
      <c r="A510" t="s">
        <v>689</v>
      </c>
      <c r="B510" t="s">
        <v>690</v>
      </c>
      <c r="C510" t="s">
        <v>654</v>
      </c>
      <c r="D510" t="s">
        <v>655</v>
      </c>
      <c r="E510" t="s">
        <v>656</v>
      </c>
      <c r="F510" t="s">
        <v>657</v>
      </c>
      <c r="G510" s="4">
        <v>215.37</v>
      </c>
    </row>
    <row r="511" spans="1:7" x14ac:dyDescent="0.35">
      <c r="A511" t="s">
        <v>691</v>
      </c>
      <c r="B511" t="s">
        <v>108</v>
      </c>
      <c r="C511" t="s">
        <v>654</v>
      </c>
      <c r="D511" t="s">
        <v>655</v>
      </c>
      <c r="E511" t="s">
        <v>656</v>
      </c>
      <c r="F511" t="s">
        <v>657</v>
      </c>
      <c r="G511" s="4">
        <v>958.57</v>
      </c>
    </row>
    <row r="512" spans="1:7" x14ac:dyDescent="0.35">
      <c r="A512" t="s">
        <v>692</v>
      </c>
      <c r="B512" t="s">
        <v>189</v>
      </c>
      <c r="C512" t="s">
        <v>654</v>
      </c>
      <c r="D512" t="s">
        <v>655</v>
      </c>
      <c r="E512" t="s">
        <v>656</v>
      </c>
      <c r="F512" t="s">
        <v>657</v>
      </c>
      <c r="G512" s="4">
        <v>473.69</v>
      </c>
    </row>
    <row r="513" spans="1:7" x14ac:dyDescent="0.35">
      <c r="A513" t="s">
        <v>693</v>
      </c>
      <c r="B513" t="s">
        <v>198</v>
      </c>
      <c r="C513" t="s">
        <v>654</v>
      </c>
      <c r="D513" t="s">
        <v>655</v>
      </c>
      <c r="E513" t="s">
        <v>656</v>
      </c>
      <c r="F513" t="s">
        <v>657</v>
      </c>
      <c r="G513" s="4">
        <v>560.44000000000005</v>
      </c>
    </row>
    <row r="514" spans="1:7" x14ac:dyDescent="0.35">
      <c r="A514" t="s">
        <v>694</v>
      </c>
      <c r="B514" t="s">
        <v>158</v>
      </c>
      <c r="C514" t="s">
        <v>654</v>
      </c>
      <c r="D514" t="s">
        <v>655</v>
      </c>
      <c r="E514" t="s">
        <v>656</v>
      </c>
      <c r="F514" t="s">
        <v>657</v>
      </c>
      <c r="G514" s="4">
        <v>725.34</v>
      </c>
    </row>
    <row r="515" spans="1:7" x14ac:dyDescent="0.35">
      <c r="A515" t="s">
        <v>695</v>
      </c>
      <c r="B515" t="s">
        <v>696</v>
      </c>
      <c r="C515" t="s">
        <v>654</v>
      </c>
      <c r="D515" t="s">
        <v>655</v>
      </c>
      <c r="E515" t="s">
        <v>656</v>
      </c>
      <c r="F515" t="s">
        <v>657</v>
      </c>
      <c r="G515" s="4">
        <v>439.98</v>
      </c>
    </row>
    <row r="516" spans="1:7" x14ac:dyDescent="0.35">
      <c r="A516" t="s">
        <v>697</v>
      </c>
      <c r="B516" t="s">
        <v>264</v>
      </c>
      <c r="C516" t="s">
        <v>654</v>
      </c>
      <c r="D516" t="s">
        <v>655</v>
      </c>
      <c r="E516" t="s">
        <v>656</v>
      </c>
      <c r="F516" t="s">
        <v>657</v>
      </c>
      <c r="G516" s="4">
        <v>315.81</v>
      </c>
    </row>
    <row r="517" spans="1:7" x14ac:dyDescent="0.35">
      <c r="A517" t="s">
        <v>698</v>
      </c>
      <c r="B517" t="s">
        <v>79</v>
      </c>
      <c r="C517" t="s">
        <v>654</v>
      </c>
      <c r="D517" t="s">
        <v>655</v>
      </c>
      <c r="E517" t="s">
        <v>656</v>
      </c>
      <c r="F517" t="s">
        <v>657</v>
      </c>
      <c r="G517" s="4">
        <v>125.63</v>
      </c>
    </row>
    <row r="518" spans="1:7" x14ac:dyDescent="0.35">
      <c r="A518" t="s">
        <v>699</v>
      </c>
      <c r="B518" t="s">
        <v>546</v>
      </c>
      <c r="C518" t="s">
        <v>654</v>
      </c>
      <c r="D518" t="s">
        <v>655</v>
      </c>
      <c r="E518" t="s">
        <v>656</v>
      </c>
      <c r="F518" t="s">
        <v>657</v>
      </c>
      <c r="G518" s="4">
        <v>591.89</v>
      </c>
    </row>
    <row r="519" spans="1:7" x14ac:dyDescent="0.35">
      <c r="A519" t="s">
        <v>700</v>
      </c>
      <c r="B519" t="s">
        <v>701</v>
      </c>
      <c r="C519" t="s">
        <v>654</v>
      </c>
      <c r="D519" t="s">
        <v>655</v>
      </c>
      <c r="E519" t="s">
        <v>656</v>
      </c>
      <c r="F519" t="s">
        <v>657</v>
      </c>
      <c r="G519" s="4">
        <v>385.71</v>
      </c>
    </row>
    <row r="520" spans="1:7" x14ac:dyDescent="0.35">
      <c r="A520" t="s">
        <v>702</v>
      </c>
      <c r="B520" t="s">
        <v>16</v>
      </c>
      <c r="C520" t="s">
        <v>654</v>
      </c>
      <c r="D520" t="s">
        <v>655</v>
      </c>
      <c r="E520" t="s">
        <v>656</v>
      </c>
      <c r="F520" t="s">
        <v>657</v>
      </c>
      <c r="G520" s="4">
        <v>142.38</v>
      </c>
    </row>
    <row r="521" spans="1:7" x14ac:dyDescent="0.35">
      <c r="A521" t="s">
        <v>703</v>
      </c>
      <c r="B521" t="s">
        <v>384</v>
      </c>
      <c r="C521" t="s">
        <v>654</v>
      </c>
      <c r="D521" t="s">
        <v>655</v>
      </c>
      <c r="E521" t="s">
        <v>656</v>
      </c>
      <c r="F521" t="s">
        <v>657</v>
      </c>
      <c r="G521" s="4">
        <v>901.62</v>
      </c>
    </row>
    <row r="522" spans="1:7" x14ac:dyDescent="0.35">
      <c r="A522" t="s">
        <v>704</v>
      </c>
      <c r="B522" t="s">
        <v>143</v>
      </c>
      <c r="C522" t="s">
        <v>654</v>
      </c>
      <c r="D522" t="s">
        <v>655</v>
      </c>
      <c r="E522" t="s">
        <v>656</v>
      </c>
      <c r="F522" t="s">
        <v>657</v>
      </c>
      <c r="G522" s="4">
        <v>798.21</v>
      </c>
    </row>
    <row r="523" spans="1:7" x14ac:dyDescent="0.35">
      <c r="A523" t="s">
        <v>705</v>
      </c>
      <c r="B523" t="s">
        <v>706</v>
      </c>
      <c r="C523" t="s">
        <v>654</v>
      </c>
      <c r="D523" t="s">
        <v>655</v>
      </c>
      <c r="E523" t="s">
        <v>656</v>
      </c>
      <c r="F523" t="s">
        <v>657</v>
      </c>
      <c r="G523" s="4">
        <v>534.30999999999995</v>
      </c>
    </row>
    <row r="524" spans="1:7" x14ac:dyDescent="0.35">
      <c r="A524" t="s">
        <v>707</v>
      </c>
      <c r="B524" t="s">
        <v>251</v>
      </c>
      <c r="C524" t="s">
        <v>654</v>
      </c>
      <c r="D524" t="s">
        <v>655</v>
      </c>
      <c r="E524" t="s">
        <v>656</v>
      </c>
      <c r="F524" t="s">
        <v>657</v>
      </c>
      <c r="G524" s="4">
        <v>286.58999999999997</v>
      </c>
    </row>
    <row r="525" spans="1:7" x14ac:dyDescent="0.35">
      <c r="A525" t="s">
        <v>708</v>
      </c>
      <c r="B525" t="s">
        <v>709</v>
      </c>
      <c r="C525" t="s">
        <v>654</v>
      </c>
      <c r="D525" t="s">
        <v>655</v>
      </c>
      <c r="E525" t="s">
        <v>656</v>
      </c>
      <c r="F525" t="s">
        <v>657</v>
      </c>
      <c r="G525" s="4">
        <v>785.96</v>
      </c>
    </row>
    <row r="526" spans="1:7" x14ac:dyDescent="0.35">
      <c r="A526" t="s">
        <v>710</v>
      </c>
      <c r="B526" t="s">
        <v>711</v>
      </c>
      <c r="C526" t="s">
        <v>654</v>
      </c>
      <c r="D526" t="s">
        <v>655</v>
      </c>
      <c r="E526" t="s">
        <v>656</v>
      </c>
      <c r="F526" t="s">
        <v>657</v>
      </c>
      <c r="G526" s="4">
        <v>720.9</v>
      </c>
    </row>
    <row r="527" spans="1:7" x14ac:dyDescent="0.35">
      <c r="A527" t="s">
        <v>712</v>
      </c>
      <c r="B527" t="s">
        <v>239</v>
      </c>
      <c r="C527" t="s">
        <v>654</v>
      </c>
      <c r="D527" t="s">
        <v>655</v>
      </c>
      <c r="E527" t="s">
        <v>656</v>
      </c>
      <c r="F527" t="s">
        <v>657</v>
      </c>
      <c r="G527" s="4">
        <v>265.64999999999998</v>
      </c>
    </row>
    <row r="528" spans="1:7" x14ac:dyDescent="0.35">
      <c r="A528" t="s">
        <v>713</v>
      </c>
      <c r="B528" t="s">
        <v>244</v>
      </c>
      <c r="C528" t="s">
        <v>654</v>
      </c>
      <c r="D528" t="s">
        <v>655</v>
      </c>
      <c r="E528" t="s">
        <v>656</v>
      </c>
      <c r="F528" t="s">
        <v>657</v>
      </c>
      <c r="G528" s="4">
        <v>920.5</v>
      </c>
    </row>
    <row r="529" spans="1:7" x14ac:dyDescent="0.35">
      <c r="A529" t="s">
        <v>714</v>
      </c>
      <c r="B529" t="s">
        <v>246</v>
      </c>
      <c r="C529" t="s">
        <v>654</v>
      </c>
      <c r="D529" t="s">
        <v>655</v>
      </c>
      <c r="E529" t="s">
        <v>656</v>
      </c>
      <c r="F529" t="s">
        <v>657</v>
      </c>
      <c r="G529" s="4">
        <v>338.48</v>
      </c>
    </row>
    <row r="530" spans="1:7" x14ac:dyDescent="0.35">
      <c r="A530" t="s">
        <v>715</v>
      </c>
      <c r="B530" t="s">
        <v>529</v>
      </c>
      <c r="C530" t="s">
        <v>654</v>
      </c>
      <c r="D530" t="s">
        <v>655</v>
      </c>
      <c r="E530" t="s">
        <v>656</v>
      </c>
      <c r="F530" t="s">
        <v>657</v>
      </c>
      <c r="G530" s="4">
        <v>669.33</v>
      </c>
    </row>
    <row r="531" spans="1:7" x14ac:dyDescent="0.35">
      <c r="A531" t="s">
        <v>716</v>
      </c>
      <c r="B531" t="s">
        <v>20</v>
      </c>
      <c r="C531" t="s">
        <v>654</v>
      </c>
      <c r="D531" t="s">
        <v>655</v>
      </c>
      <c r="E531" t="s">
        <v>656</v>
      </c>
      <c r="F531" t="s">
        <v>657</v>
      </c>
      <c r="G531" s="4">
        <v>823.98</v>
      </c>
    </row>
    <row r="532" spans="1:7" x14ac:dyDescent="0.35">
      <c r="A532" t="s">
        <v>717</v>
      </c>
      <c r="B532" t="s">
        <v>488</v>
      </c>
      <c r="C532" t="s">
        <v>654</v>
      </c>
      <c r="D532" t="s">
        <v>655</v>
      </c>
      <c r="E532" t="s">
        <v>656</v>
      </c>
      <c r="F532" t="s">
        <v>657</v>
      </c>
      <c r="G532" s="4">
        <v>734.82</v>
      </c>
    </row>
    <row r="533" spans="1:7" x14ac:dyDescent="0.35">
      <c r="A533" t="s">
        <v>718</v>
      </c>
      <c r="B533" t="s">
        <v>428</v>
      </c>
      <c r="C533" t="s">
        <v>654</v>
      </c>
      <c r="D533" t="s">
        <v>655</v>
      </c>
      <c r="E533" t="s">
        <v>656</v>
      </c>
      <c r="F533" t="s">
        <v>657</v>
      </c>
      <c r="G533" s="4">
        <v>936.97</v>
      </c>
    </row>
    <row r="534" spans="1:7" x14ac:dyDescent="0.35">
      <c r="A534" t="s">
        <v>719</v>
      </c>
      <c r="B534" t="s">
        <v>620</v>
      </c>
      <c r="C534" t="s">
        <v>654</v>
      </c>
      <c r="D534" t="s">
        <v>655</v>
      </c>
      <c r="E534" t="s">
        <v>656</v>
      </c>
      <c r="F534" t="s">
        <v>657</v>
      </c>
      <c r="G534" s="4">
        <v>718.41</v>
      </c>
    </row>
    <row r="535" spans="1:7" x14ac:dyDescent="0.35">
      <c r="A535" t="s">
        <v>720</v>
      </c>
      <c r="B535" t="s">
        <v>89</v>
      </c>
      <c r="C535" t="s">
        <v>654</v>
      </c>
      <c r="D535" t="s">
        <v>655</v>
      </c>
      <c r="E535" t="s">
        <v>656</v>
      </c>
      <c r="F535" t="s">
        <v>657</v>
      </c>
      <c r="G535" s="4">
        <v>833.47</v>
      </c>
    </row>
    <row r="536" spans="1:7" x14ac:dyDescent="0.35">
      <c r="A536" t="s">
        <v>721</v>
      </c>
      <c r="B536" t="s">
        <v>391</v>
      </c>
      <c r="C536" t="s">
        <v>654</v>
      </c>
      <c r="D536" t="s">
        <v>655</v>
      </c>
      <c r="E536" t="s">
        <v>656</v>
      </c>
      <c r="F536" t="s">
        <v>657</v>
      </c>
      <c r="G536" s="4">
        <v>390.71</v>
      </c>
    </row>
    <row r="537" spans="1:7" x14ac:dyDescent="0.35">
      <c r="A537" t="s">
        <v>722</v>
      </c>
      <c r="B537" t="s">
        <v>209</v>
      </c>
      <c r="C537" t="s">
        <v>654</v>
      </c>
      <c r="D537" t="s">
        <v>655</v>
      </c>
      <c r="E537" t="s">
        <v>656</v>
      </c>
      <c r="F537" t="s">
        <v>657</v>
      </c>
      <c r="G537" s="4">
        <v>433.65</v>
      </c>
    </row>
    <row r="538" spans="1:7" x14ac:dyDescent="0.35">
      <c r="A538" t="s">
        <v>723</v>
      </c>
      <c r="B538" t="s">
        <v>131</v>
      </c>
      <c r="C538" t="s">
        <v>654</v>
      </c>
      <c r="D538" t="s">
        <v>655</v>
      </c>
      <c r="E538" t="s">
        <v>656</v>
      </c>
      <c r="F538" t="s">
        <v>657</v>
      </c>
      <c r="G538" s="4">
        <v>126.51</v>
      </c>
    </row>
    <row r="539" spans="1:7" x14ac:dyDescent="0.35">
      <c r="A539" t="s">
        <v>724</v>
      </c>
      <c r="B539" t="s">
        <v>408</v>
      </c>
      <c r="C539" t="s">
        <v>654</v>
      </c>
      <c r="D539" t="s">
        <v>655</v>
      </c>
      <c r="E539" t="s">
        <v>656</v>
      </c>
      <c r="F539" t="s">
        <v>657</v>
      </c>
      <c r="G539" s="4">
        <v>844.44</v>
      </c>
    </row>
    <row r="540" spans="1:7" x14ac:dyDescent="0.35">
      <c r="A540" t="s">
        <v>725</v>
      </c>
      <c r="B540" t="s">
        <v>588</v>
      </c>
      <c r="C540" t="s">
        <v>654</v>
      </c>
      <c r="D540" t="s">
        <v>655</v>
      </c>
      <c r="E540" t="s">
        <v>656</v>
      </c>
      <c r="F540" t="s">
        <v>657</v>
      </c>
      <c r="G540" s="4">
        <v>924.94</v>
      </c>
    </row>
    <row r="541" spans="1:7" x14ac:dyDescent="0.35">
      <c r="A541" t="s">
        <v>726</v>
      </c>
      <c r="B541" t="s">
        <v>311</v>
      </c>
      <c r="C541" t="s">
        <v>654</v>
      </c>
      <c r="D541" t="s">
        <v>655</v>
      </c>
      <c r="E541" t="s">
        <v>656</v>
      </c>
      <c r="F541" t="s">
        <v>657</v>
      </c>
      <c r="G541" s="4">
        <v>340.69</v>
      </c>
    </row>
    <row r="542" spans="1:7" x14ac:dyDescent="0.35">
      <c r="A542" t="s">
        <v>727</v>
      </c>
      <c r="B542" t="s">
        <v>261</v>
      </c>
      <c r="C542" t="s">
        <v>654</v>
      </c>
      <c r="D542" t="s">
        <v>655</v>
      </c>
      <c r="E542" t="s">
        <v>656</v>
      </c>
      <c r="F542" t="s">
        <v>657</v>
      </c>
      <c r="G542" s="4">
        <v>179.16</v>
      </c>
    </row>
    <row r="543" spans="1:7" x14ac:dyDescent="0.35">
      <c r="A543" t="s">
        <v>728</v>
      </c>
      <c r="B543" t="s">
        <v>463</v>
      </c>
      <c r="C543" t="s">
        <v>654</v>
      </c>
      <c r="D543" t="s">
        <v>655</v>
      </c>
      <c r="E543" t="s">
        <v>656</v>
      </c>
      <c r="F543" t="s">
        <v>657</v>
      </c>
      <c r="G543" s="4">
        <v>136.91999999999999</v>
      </c>
    </row>
    <row r="544" spans="1:7" x14ac:dyDescent="0.35">
      <c r="A544" t="s">
        <v>729</v>
      </c>
      <c r="B544" t="s">
        <v>459</v>
      </c>
      <c r="C544" t="s">
        <v>654</v>
      </c>
      <c r="D544" t="s">
        <v>655</v>
      </c>
      <c r="E544" t="s">
        <v>656</v>
      </c>
      <c r="F544" t="s">
        <v>657</v>
      </c>
      <c r="G544" s="4">
        <v>728.91</v>
      </c>
    </row>
    <row r="545" spans="1:7" x14ac:dyDescent="0.35">
      <c r="A545" t="s">
        <v>730</v>
      </c>
      <c r="B545" t="s">
        <v>731</v>
      </c>
      <c r="C545" t="s">
        <v>654</v>
      </c>
      <c r="D545" t="s">
        <v>655</v>
      </c>
      <c r="E545" t="s">
        <v>656</v>
      </c>
      <c r="F545" t="s">
        <v>657</v>
      </c>
      <c r="G545" s="4">
        <v>413.24</v>
      </c>
    </row>
    <row r="546" spans="1:7" x14ac:dyDescent="0.35">
      <c r="A546" t="s">
        <v>732</v>
      </c>
      <c r="B546" t="s">
        <v>302</v>
      </c>
      <c r="C546" t="s">
        <v>654</v>
      </c>
      <c r="D546" t="s">
        <v>655</v>
      </c>
      <c r="E546" t="s">
        <v>656</v>
      </c>
      <c r="F546" t="s">
        <v>657</v>
      </c>
      <c r="G546" s="4">
        <v>307.74</v>
      </c>
    </row>
    <row r="547" spans="1:7" x14ac:dyDescent="0.35">
      <c r="A547" t="s">
        <v>733</v>
      </c>
      <c r="B547" t="s">
        <v>389</v>
      </c>
      <c r="C547" t="s">
        <v>654</v>
      </c>
      <c r="D547" t="s">
        <v>655</v>
      </c>
      <c r="E547" t="s">
        <v>656</v>
      </c>
      <c r="F547" t="s">
        <v>657</v>
      </c>
      <c r="G547" s="4">
        <v>719.7</v>
      </c>
    </row>
    <row r="548" spans="1:7" x14ac:dyDescent="0.35">
      <c r="A548" t="s">
        <v>734</v>
      </c>
      <c r="B548" t="s">
        <v>77</v>
      </c>
      <c r="C548" t="s">
        <v>654</v>
      </c>
      <c r="D548" t="s">
        <v>655</v>
      </c>
      <c r="E548" t="s">
        <v>656</v>
      </c>
      <c r="F548" t="s">
        <v>657</v>
      </c>
      <c r="G548" s="4">
        <v>277.57</v>
      </c>
    </row>
    <row r="549" spans="1:7" x14ac:dyDescent="0.35">
      <c r="A549" t="s">
        <v>735</v>
      </c>
      <c r="B549" t="s">
        <v>736</v>
      </c>
      <c r="C549" t="s">
        <v>654</v>
      </c>
      <c r="D549" t="s">
        <v>655</v>
      </c>
      <c r="E549" t="s">
        <v>656</v>
      </c>
      <c r="F549" t="s">
        <v>657</v>
      </c>
      <c r="G549" s="4">
        <v>815.06</v>
      </c>
    </row>
    <row r="550" spans="1:7" x14ac:dyDescent="0.35">
      <c r="A550" t="s">
        <v>737</v>
      </c>
      <c r="B550" t="s">
        <v>542</v>
      </c>
      <c r="C550" t="s">
        <v>654</v>
      </c>
      <c r="D550" t="s">
        <v>655</v>
      </c>
      <c r="E550" t="s">
        <v>656</v>
      </c>
      <c r="F550" t="s">
        <v>657</v>
      </c>
      <c r="G550" s="4">
        <v>844.51</v>
      </c>
    </row>
    <row r="551" spans="1:7" x14ac:dyDescent="0.35">
      <c r="A551" t="s">
        <v>738</v>
      </c>
      <c r="B551" t="s">
        <v>739</v>
      </c>
      <c r="C551" t="s">
        <v>654</v>
      </c>
      <c r="D551" t="s">
        <v>655</v>
      </c>
      <c r="E551" t="s">
        <v>656</v>
      </c>
      <c r="F551" t="s">
        <v>657</v>
      </c>
      <c r="G551" s="4">
        <v>451.28</v>
      </c>
    </row>
    <row r="552" spans="1:7" x14ac:dyDescent="0.35">
      <c r="A552" t="s">
        <v>740</v>
      </c>
      <c r="B552" t="s">
        <v>676</v>
      </c>
      <c r="C552" t="s">
        <v>654</v>
      </c>
      <c r="D552" t="s">
        <v>655</v>
      </c>
      <c r="E552" t="s">
        <v>656</v>
      </c>
      <c r="F552" t="s">
        <v>657</v>
      </c>
      <c r="G552" s="4">
        <v>654.51</v>
      </c>
    </row>
    <row r="553" spans="1:7" x14ac:dyDescent="0.35">
      <c r="A553" t="s">
        <v>741</v>
      </c>
      <c r="B553" t="s">
        <v>742</v>
      </c>
      <c r="C553" t="s">
        <v>654</v>
      </c>
      <c r="D553" t="s">
        <v>655</v>
      </c>
      <c r="E553" t="s">
        <v>656</v>
      </c>
      <c r="F553" t="s">
        <v>657</v>
      </c>
      <c r="G553" s="4">
        <v>648.14</v>
      </c>
    </row>
    <row r="554" spans="1:7" x14ac:dyDescent="0.35">
      <c r="A554" t="s">
        <v>743</v>
      </c>
      <c r="B554" t="s">
        <v>279</v>
      </c>
      <c r="C554" t="s">
        <v>654</v>
      </c>
      <c r="D554" t="s">
        <v>655</v>
      </c>
      <c r="E554" t="s">
        <v>656</v>
      </c>
      <c r="F554" t="s">
        <v>657</v>
      </c>
      <c r="G554" s="4">
        <v>298.94</v>
      </c>
    </row>
    <row r="555" spans="1:7" x14ac:dyDescent="0.35">
      <c r="A555" t="s">
        <v>744</v>
      </c>
      <c r="B555" t="s">
        <v>219</v>
      </c>
      <c r="C555" t="s">
        <v>654</v>
      </c>
      <c r="D555" t="s">
        <v>655</v>
      </c>
      <c r="E555" t="s">
        <v>656</v>
      </c>
      <c r="F555" t="s">
        <v>657</v>
      </c>
      <c r="G555" s="4">
        <v>890.37</v>
      </c>
    </row>
    <row r="556" spans="1:7" x14ac:dyDescent="0.35">
      <c r="A556" t="s">
        <v>745</v>
      </c>
      <c r="B556" t="s">
        <v>42</v>
      </c>
      <c r="C556" t="s">
        <v>654</v>
      </c>
      <c r="D556" t="s">
        <v>655</v>
      </c>
      <c r="E556" t="s">
        <v>656</v>
      </c>
      <c r="F556" t="s">
        <v>657</v>
      </c>
      <c r="G556" s="4">
        <v>239.05</v>
      </c>
    </row>
    <row r="557" spans="1:7" x14ac:dyDescent="0.35">
      <c r="A557" t="s">
        <v>746</v>
      </c>
      <c r="B557" t="s">
        <v>546</v>
      </c>
      <c r="C557" t="s">
        <v>654</v>
      </c>
      <c r="D557" t="s">
        <v>655</v>
      </c>
      <c r="E557" t="s">
        <v>656</v>
      </c>
      <c r="F557" t="s">
        <v>657</v>
      </c>
      <c r="G557" s="4">
        <v>686.13</v>
      </c>
    </row>
    <row r="558" spans="1:7" x14ac:dyDescent="0.35">
      <c r="A558" t="s">
        <v>747</v>
      </c>
      <c r="B558" t="s">
        <v>748</v>
      </c>
      <c r="C558" t="s">
        <v>654</v>
      </c>
      <c r="D558" t="s">
        <v>655</v>
      </c>
      <c r="E558" t="s">
        <v>656</v>
      </c>
      <c r="F558" t="s">
        <v>657</v>
      </c>
      <c r="G558" s="4">
        <v>952.91</v>
      </c>
    </row>
    <row r="559" spans="1:7" x14ac:dyDescent="0.35">
      <c r="A559" t="s">
        <v>749</v>
      </c>
      <c r="B559" t="s">
        <v>554</v>
      </c>
      <c r="C559" t="s">
        <v>654</v>
      </c>
      <c r="D559" t="s">
        <v>655</v>
      </c>
      <c r="E559" t="s">
        <v>656</v>
      </c>
      <c r="F559" t="s">
        <v>657</v>
      </c>
      <c r="G559" s="4">
        <v>955.99</v>
      </c>
    </row>
    <row r="560" spans="1:7" x14ac:dyDescent="0.35">
      <c r="A560" t="s">
        <v>750</v>
      </c>
      <c r="B560" t="s">
        <v>690</v>
      </c>
      <c r="C560" t="s">
        <v>654</v>
      </c>
      <c r="D560" t="s">
        <v>655</v>
      </c>
      <c r="E560" t="s">
        <v>656</v>
      </c>
      <c r="F560" t="s">
        <v>657</v>
      </c>
      <c r="G560" s="4">
        <v>970.94</v>
      </c>
    </row>
    <row r="561" spans="1:7" x14ac:dyDescent="0.35">
      <c r="A561" t="s">
        <v>751</v>
      </c>
      <c r="B561" t="s">
        <v>752</v>
      </c>
      <c r="C561" t="s">
        <v>654</v>
      </c>
      <c r="D561" t="s">
        <v>655</v>
      </c>
      <c r="E561" t="s">
        <v>656</v>
      </c>
      <c r="F561" t="s">
        <v>657</v>
      </c>
      <c r="G561" s="4">
        <v>705.87</v>
      </c>
    </row>
    <row r="562" spans="1:7" x14ac:dyDescent="0.35">
      <c r="A562" t="s">
        <v>753</v>
      </c>
      <c r="B562" t="s">
        <v>488</v>
      </c>
      <c r="C562" t="s">
        <v>654</v>
      </c>
      <c r="D562" t="s">
        <v>655</v>
      </c>
      <c r="E562" t="s">
        <v>656</v>
      </c>
      <c r="F562" t="s">
        <v>657</v>
      </c>
      <c r="G562" s="4">
        <v>135.47999999999999</v>
      </c>
    </row>
    <row r="563" spans="1:7" x14ac:dyDescent="0.35">
      <c r="A563" t="s">
        <v>754</v>
      </c>
      <c r="B563" t="s">
        <v>40</v>
      </c>
      <c r="C563" t="s">
        <v>654</v>
      </c>
      <c r="D563" t="s">
        <v>655</v>
      </c>
      <c r="E563" t="s">
        <v>656</v>
      </c>
      <c r="F563" t="s">
        <v>657</v>
      </c>
      <c r="G563" s="4">
        <v>263.58</v>
      </c>
    </row>
    <row r="564" spans="1:7" x14ac:dyDescent="0.35">
      <c r="A564" t="s">
        <v>755</v>
      </c>
      <c r="B564" t="s">
        <v>505</v>
      </c>
      <c r="C564" t="s">
        <v>654</v>
      </c>
      <c r="D564" t="s">
        <v>655</v>
      </c>
      <c r="E564" t="s">
        <v>656</v>
      </c>
      <c r="F564" t="s">
        <v>657</v>
      </c>
      <c r="G564" s="4">
        <v>882.12</v>
      </c>
    </row>
    <row r="565" spans="1:7" x14ac:dyDescent="0.35">
      <c r="A565" t="s">
        <v>756</v>
      </c>
      <c r="B565" t="s">
        <v>91</v>
      </c>
      <c r="C565" t="s">
        <v>654</v>
      </c>
      <c r="D565" t="s">
        <v>655</v>
      </c>
      <c r="E565" t="s">
        <v>656</v>
      </c>
      <c r="F565" t="s">
        <v>657</v>
      </c>
      <c r="G565" s="4">
        <v>441.66</v>
      </c>
    </row>
    <row r="566" spans="1:7" x14ac:dyDescent="0.35">
      <c r="A566" t="s">
        <v>757</v>
      </c>
      <c r="B566" t="s">
        <v>151</v>
      </c>
      <c r="C566" t="s">
        <v>654</v>
      </c>
      <c r="D566" t="s">
        <v>655</v>
      </c>
      <c r="E566" t="s">
        <v>656</v>
      </c>
      <c r="F566" t="s">
        <v>657</v>
      </c>
      <c r="G566" s="4">
        <v>706.56</v>
      </c>
    </row>
    <row r="567" spans="1:7" x14ac:dyDescent="0.35">
      <c r="A567" t="s">
        <v>758</v>
      </c>
      <c r="B567" t="s">
        <v>166</v>
      </c>
      <c r="C567" t="s">
        <v>654</v>
      </c>
      <c r="D567" t="s">
        <v>655</v>
      </c>
      <c r="E567" t="s">
        <v>656</v>
      </c>
      <c r="F567" t="s">
        <v>657</v>
      </c>
      <c r="G567" s="4">
        <v>879.67</v>
      </c>
    </row>
    <row r="568" spans="1:7" x14ac:dyDescent="0.35">
      <c r="A568" t="s">
        <v>759</v>
      </c>
      <c r="B568" t="s">
        <v>760</v>
      </c>
      <c r="C568" t="s">
        <v>654</v>
      </c>
      <c r="D568" t="s">
        <v>655</v>
      </c>
      <c r="E568" t="s">
        <v>656</v>
      </c>
      <c r="F568" t="s">
        <v>657</v>
      </c>
      <c r="G568" s="4">
        <v>124.85</v>
      </c>
    </row>
    <row r="569" spans="1:7" x14ac:dyDescent="0.35">
      <c r="A569" t="s">
        <v>761</v>
      </c>
      <c r="B569" t="s">
        <v>624</v>
      </c>
      <c r="C569" t="s">
        <v>654</v>
      </c>
      <c r="D569" t="s">
        <v>655</v>
      </c>
      <c r="E569" t="s">
        <v>656</v>
      </c>
      <c r="F569" t="s">
        <v>657</v>
      </c>
      <c r="G569" s="4">
        <v>897.21</v>
      </c>
    </row>
    <row r="570" spans="1:7" x14ac:dyDescent="0.35">
      <c r="A570" t="s">
        <v>762</v>
      </c>
      <c r="B570" t="s">
        <v>763</v>
      </c>
      <c r="C570" t="s">
        <v>654</v>
      </c>
      <c r="D570" t="s">
        <v>655</v>
      </c>
      <c r="E570" t="s">
        <v>656</v>
      </c>
      <c r="F570" t="s">
        <v>657</v>
      </c>
      <c r="G570" s="4">
        <v>249.52</v>
      </c>
    </row>
    <row r="571" spans="1:7" x14ac:dyDescent="0.35">
      <c r="A571" t="s">
        <v>764</v>
      </c>
      <c r="B571" t="s">
        <v>288</v>
      </c>
      <c r="C571" t="s">
        <v>654</v>
      </c>
      <c r="D571" t="s">
        <v>655</v>
      </c>
      <c r="E571" t="s">
        <v>656</v>
      </c>
      <c r="F571" t="s">
        <v>657</v>
      </c>
      <c r="G571" s="4">
        <v>345.23</v>
      </c>
    </row>
    <row r="572" spans="1:7" x14ac:dyDescent="0.35">
      <c r="A572" t="s">
        <v>765</v>
      </c>
      <c r="B572" t="s">
        <v>498</v>
      </c>
      <c r="C572" t="s">
        <v>654</v>
      </c>
      <c r="D572" t="s">
        <v>655</v>
      </c>
      <c r="E572" t="s">
        <v>656</v>
      </c>
      <c r="F572" t="s">
        <v>657</v>
      </c>
      <c r="G572" s="4">
        <v>500.51</v>
      </c>
    </row>
    <row r="573" spans="1:7" x14ac:dyDescent="0.35">
      <c r="A573" t="s">
        <v>766</v>
      </c>
      <c r="B573" t="s">
        <v>71</v>
      </c>
      <c r="C573" t="s">
        <v>654</v>
      </c>
      <c r="D573" t="s">
        <v>655</v>
      </c>
      <c r="E573" t="s">
        <v>656</v>
      </c>
      <c r="F573" t="s">
        <v>657</v>
      </c>
      <c r="G573" s="4">
        <v>446.45</v>
      </c>
    </row>
    <row r="574" spans="1:7" x14ac:dyDescent="0.35">
      <c r="A574" t="s">
        <v>767</v>
      </c>
      <c r="B574" t="s">
        <v>180</v>
      </c>
      <c r="C574" t="s">
        <v>654</v>
      </c>
      <c r="D574" t="s">
        <v>655</v>
      </c>
      <c r="E574" t="s">
        <v>656</v>
      </c>
      <c r="F574" t="s">
        <v>657</v>
      </c>
      <c r="G574" s="4">
        <v>793.95</v>
      </c>
    </row>
    <row r="575" spans="1:7" x14ac:dyDescent="0.35">
      <c r="A575" t="s">
        <v>768</v>
      </c>
      <c r="B575" t="s">
        <v>520</v>
      </c>
      <c r="C575" t="s">
        <v>654</v>
      </c>
      <c r="D575" t="s">
        <v>655</v>
      </c>
      <c r="E575" t="s">
        <v>656</v>
      </c>
      <c r="F575" t="s">
        <v>657</v>
      </c>
      <c r="G575" s="4">
        <v>527.79</v>
      </c>
    </row>
    <row r="576" spans="1:7" x14ac:dyDescent="0.35">
      <c r="A576" t="s">
        <v>769</v>
      </c>
      <c r="B576" t="s">
        <v>565</v>
      </c>
      <c r="C576" t="s">
        <v>654</v>
      </c>
      <c r="D576" t="s">
        <v>655</v>
      </c>
      <c r="E576" t="s">
        <v>656</v>
      </c>
      <c r="F576" t="s">
        <v>657</v>
      </c>
      <c r="G576" s="4">
        <v>614.89</v>
      </c>
    </row>
    <row r="577" spans="1:7" x14ac:dyDescent="0.35">
      <c r="A577" t="s">
        <v>770</v>
      </c>
      <c r="B577" t="s">
        <v>771</v>
      </c>
      <c r="C577" t="s">
        <v>654</v>
      </c>
      <c r="D577" t="s">
        <v>655</v>
      </c>
      <c r="E577" t="s">
        <v>656</v>
      </c>
      <c r="F577" t="s">
        <v>657</v>
      </c>
      <c r="G577" s="4">
        <v>252.83</v>
      </c>
    </row>
    <row r="578" spans="1:7" x14ac:dyDescent="0.35">
      <c r="A578" t="s">
        <v>772</v>
      </c>
      <c r="B578" t="s">
        <v>200</v>
      </c>
      <c r="C578" t="s">
        <v>654</v>
      </c>
      <c r="D578" t="s">
        <v>655</v>
      </c>
      <c r="E578" t="s">
        <v>656</v>
      </c>
      <c r="F578" t="s">
        <v>657</v>
      </c>
      <c r="G578" s="4">
        <v>288.57</v>
      </c>
    </row>
    <row r="579" spans="1:7" x14ac:dyDescent="0.35">
      <c r="A579" t="s">
        <v>773</v>
      </c>
      <c r="B579" t="s">
        <v>334</v>
      </c>
      <c r="C579" t="s">
        <v>654</v>
      </c>
      <c r="D579" t="s">
        <v>655</v>
      </c>
      <c r="E579" t="s">
        <v>656</v>
      </c>
      <c r="F579" t="s">
        <v>657</v>
      </c>
      <c r="G579" s="4">
        <v>955.59</v>
      </c>
    </row>
    <row r="580" spans="1:7" x14ac:dyDescent="0.35">
      <c r="A580" t="s">
        <v>774</v>
      </c>
      <c r="B580" t="s">
        <v>775</v>
      </c>
      <c r="C580" t="s">
        <v>654</v>
      </c>
      <c r="D580" t="s">
        <v>655</v>
      </c>
      <c r="E580" t="s">
        <v>656</v>
      </c>
      <c r="F580" t="s">
        <v>657</v>
      </c>
      <c r="G580" s="4">
        <v>349.04</v>
      </c>
    </row>
    <row r="581" spans="1:7" x14ac:dyDescent="0.35">
      <c r="A581" t="s">
        <v>776</v>
      </c>
      <c r="B581" t="s">
        <v>413</v>
      </c>
      <c r="C581" t="s">
        <v>654</v>
      </c>
      <c r="D581" t="s">
        <v>655</v>
      </c>
      <c r="E581" t="s">
        <v>656</v>
      </c>
      <c r="F581" t="s">
        <v>657</v>
      </c>
      <c r="G581" s="4">
        <v>176.35</v>
      </c>
    </row>
    <row r="582" spans="1:7" x14ac:dyDescent="0.35">
      <c r="A582" t="s">
        <v>777</v>
      </c>
      <c r="B582" t="s">
        <v>428</v>
      </c>
      <c r="C582" t="s">
        <v>654</v>
      </c>
      <c r="D582" t="s">
        <v>655</v>
      </c>
      <c r="E582" t="s">
        <v>656</v>
      </c>
      <c r="F582" t="s">
        <v>657</v>
      </c>
      <c r="G582" s="4">
        <v>445.7</v>
      </c>
    </row>
    <row r="583" spans="1:7" x14ac:dyDescent="0.35">
      <c r="A583" t="s">
        <v>778</v>
      </c>
      <c r="B583" t="s">
        <v>779</v>
      </c>
      <c r="C583" t="s">
        <v>654</v>
      </c>
      <c r="D583" t="s">
        <v>655</v>
      </c>
      <c r="E583" t="s">
        <v>656</v>
      </c>
      <c r="F583" t="s">
        <v>657</v>
      </c>
      <c r="G583" s="4">
        <v>771.66</v>
      </c>
    </row>
    <row r="584" spans="1:7" x14ac:dyDescent="0.35">
      <c r="A584" t="s">
        <v>780</v>
      </c>
      <c r="B584" t="s">
        <v>143</v>
      </c>
      <c r="C584" t="s">
        <v>654</v>
      </c>
      <c r="D584" t="s">
        <v>655</v>
      </c>
      <c r="E584" t="s">
        <v>656</v>
      </c>
      <c r="F584" t="s">
        <v>657</v>
      </c>
      <c r="G584" s="4">
        <v>141.11000000000001</v>
      </c>
    </row>
    <row r="585" spans="1:7" x14ac:dyDescent="0.35">
      <c r="A585" t="s">
        <v>781</v>
      </c>
      <c r="B585" t="s">
        <v>782</v>
      </c>
      <c r="C585" t="s">
        <v>654</v>
      </c>
      <c r="D585" t="s">
        <v>655</v>
      </c>
      <c r="E585" t="s">
        <v>656</v>
      </c>
      <c r="F585" t="s">
        <v>657</v>
      </c>
      <c r="G585" s="4">
        <v>779.11</v>
      </c>
    </row>
    <row r="586" spans="1:7" x14ac:dyDescent="0.35">
      <c r="A586" t="s">
        <v>783</v>
      </c>
      <c r="B586" t="s">
        <v>336</v>
      </c>
      <c r="C586" t="s">
        <v>654</v>
      </c>
      <c r="D586" t="s">
        <v>655</v>
      </c>
      <c r="E586" t="s">
        <v>656</v>
      </c>
      <c r="F586" t="s">
        <v>657</v>
      </c>
      <c r="G586" s="4">
        <v>784.15</v>
      </c>
    </row>
    <row r="587" spans="1:7" x14ac:dyDescent="0.35">
      <c r="A587" t="s">
        <v>784</v>
      </c>
      <c r="B587" t="s">
        <v>574</v>
      </c>
      <c r="C587" t="s">
        <v>654</v>
      </c>
      <c r="D587" t="s">
        <v>655</v>
      </c>
      <c r="E587" t="s">
        <v>656</v>
      </c>
      <c r="F587" t="s">
        <v>657</v>
      </c>
      <c r="G587" s="4">
        <v>490.01</v>
      </c>
    </row>
    <row r="588" spans="1:7" x14ac:dyDescent="0.35">
      <c r="A588" t="s">
        <v>785</v>
      </c>
      <c r="B588" t="s">
        <v>498</v>
      </c>
      <c r="C588" t="s">
        <v>654</v>
      </c>
      <c r="D588" t="s">
        <v>655</v>
      </c>
      <c r="E588" t="s">
        <v>656</v>
      </c>
      <c r="F588" t="s">
        <v>657</v>
      </c>
      <c r="G588" s="4">
        <v>285.19</v>
      </c>
    </row>
    <row r="589" spans="1:7" x14ac:dyDescent="0.35">
      <c r="A589" t="s">
        <v>786</v>
      </c>
      <c r="B589" t="s">
        <v>787</v>
      </c>
      <c r="C589" t="s">
        <v>654</v>
      </c>
      <c r="D589" t="s">
        <v>655</v>
      </c>
      <c r="E589" t="s">
        <v>656</v>
      </c>
      <c r="F589" t="s">
        <v>657</v>
      </c>
      <c r="G589" s="4">
        <v>142.35</v>
      </c>
    </row>
    <row r="590" spans="1:7" x14ac:dyDescent="0.35">
      <c r="A590" t="s">
        <v>788</v>
      </c>
      <c r="B590" t="s">
        <v>345</v>
      </c>
      <c r="C590" t="s">
        <v>654</v>
      </c>
      <c r="D590" t="s">
        <v>655</v>
      </c>
      <c r="E590" t="s">
        <v>656</v>
      </c>
      <c r="F590" t="s">
        <v>657</v>
      </c>
      <c r="G590" s="4">
        <v>585.41</v>
      </c>
    </row>
    <row r="591" spans="1:7" x14ac:dyDescent="0.35">
      <c r="A591" t="s">
        <v>789</v>
      </c>
      <c r="B591" t="s">
        <v>790</v>
      </c>
      <c r="C591" t="s">
        <v>654</v>
      </c>
      <c r="D591" t="s">
        <v>655</v>
      </c>
      <c r="E591" t="s">
        <v>656</v>
      </c>
      <c r="F591" t="s">
        <v>657</v>
      </c>
      <c r="G591" s="4">
        <v>563.99</v>
      </c>
    </row>
    <row r="592" spans="1:7" x14ac:dyDescent="0.35">
      <c r="A592" t="s">
        <v>479</v>
      </c>
      <c r="B592" t="s">
        <v>151</v>
      </c>
      <c r="C592" t="s">
        <v>791</v>
      </c>
      <c r="D592" t="s">
        <v>792</v>
      </c>
      <c r="E592" t="s">
        <v>656</v>
      </c>
      <c r="F592" t="s">
        <v>657</v>
      </c>
      <c r="G592" s="4">
        <v>1783.54</v>
      </c>
    </row>
    <row r="593" spans="1:7" x14ac:dyDescent="0.35">
      <c r="A593" t="s">
        <v>482</v>
      </c>
      <c r="B593" t="s">
        <v>483</v>
      </c>
      <c r="C593" t="s">
        <v>791</v>
      </c>
      <c r="D593" t="s">
        <v>792</v>
      </c>
      <c r="E593" t="s">
        <v>656</v>
      </c>
      <c r="F593" t="s">
        <v>657</v>
      </c>
      <c r="G593" s="4">
        <v>720.63</v>
      </c>
    </row>
    <row r="594" spans="1:7" x14ac:dyDescent="0.35">
      <c r="A594" t="s">
        <v>484</v>
      </c>
      <c r="B594" t="s">
        <v>314</v>
      </c>
      <c r="C594" t="s">
        <v>791</v>
      </c>
      <c r="D594" t="s">
        <v>792</v>
      </c>
      <c r="E594" t="s">
        <v>656</v>
      </c>
      <c r="F594" t="s">
        <v>657</v>
      </c>
      <c r="G594" s="4">
        <v>1485.19</v>
      </c>
    </row>
    <row r="595" spans="1:7" x14ac:dyDescent="0.35">
      <c r="A595" t="s">
        <v>485</v>
      </c>
      <c r="B595" t="s">
        <v>486</v>
      </c>
      <c r="C595" t="s">
        <v>791</v>
      </c>
      <c r="D595" t="s">
        <v>792</v>
      </c>
      <c r="E595" t="s">
        <v>656</v>
      </c>
      <c r="F595" t="s">
        <v>657</v>
      </c>
      <c r="G595" s="4">
        <v>1556.62</v>
      </c>
    </row>
    <row r="596" spans="1:7" x14ac:dyDescent="0.35">
      <c r="A596" t="s">
        <v>487</v>
      </c>
      <c r="B596" t="s">
        <v>488</v>
      </c>
      <c r="C596" t="s">
        <v>791</v>
      </c>
      <c r="D596" t="s">
        <v>792</v>
      </c>
      <c r="E596" t="s">
        <v>656</v>
      </c>
      <c r="F596" t="s">
        <v>657</v>
      </c>
      <c r="G596" s="4">
        <v>517.20000000000005</v>
      </c>
    </row>
    <row r="597" spans="1:7" x14ac:dyDescent="0.35">
      <c r="A597" t="s">
        <v>489</v>
      </c>
      <c r="B597" t="s">
        <v>490</v>
      </c>
      <c r="C597" t="s">
        <v>791</v>
      </c>
      <c r="D597" t="s">
        <v>792</v>
      </c>
      <c r="E597" t="s">
        <v>656</v>
      </c>
      <c r="F597" t="s">
        <v>657</v>
      </c>
      <c r="G597" s="4">
        <v>1713.08</v>
      </c>
    </row>
    <row r="598" spans="1:7" x14ac:dyDescent="0.35">
      <c r="A598" t="s">
        <v>491</v>
      </c>
      <c r="B598" t="s">
        <v>413</v>
      </c>
      <c r="C598" t="s">
        <v>791</v>
      </c>
      <c r="D598" t="s">
        <v>792</v>
      </c>
      <c r="E598" t="s">
        <v>656</v>
      </c>
      <c r="F598" t="s">
        <v>657</v>
      </c>
      <c r="G598" s="4">
        <v>1426.96</v>
      </c>
    </row>
    <row r="599" spans="1:7" x14ac:dyDescent="0.35">
      <c r="A599" t="s">
        <v>492</v>
      </c>
      <c r="B599" t="s">
        <v>493</v>
      </c>
      <c r="C599" t="s">
        <v>791</v>
      </c>
      <c r="D599" t="s">
        <v>792</v>
      </c>
      <c r="E599" t="s">
        <v>656</v>
      </c>
      <c r="F599" t="s">
        <v>657</v>
      </c>
      <c r="G599" s="4">
        <v>2362.96</v>
      </c>
    </row>
    <row r="600" spans="1:7" x14ac:dyDescent="0.35">
      <c r="A600" t="s">
        <v>494</v>
      </c>
      <c r="B600" t="s">
        <v>401</v>
      </c>
      <c r="C600" t="s">
        <v>791</v>
      </c>
      <c r="D600" t="s">
        <v>792</v>
      </c>
      <c r="E600" t="s">
        <v>656</v>
      </c>
      <c r="F600" t="s">
        <v>657</v>
      </c>
      <c r="G600" s="4">
        <v>1731.49</v>
      </c>
    </row>
    <row r="601" spans="1:7" x14ac:dyDescent="0.35">
      <c r="A601" t="s">
        <v>495</v>
      </c>
      <c r="B601" t="s">
        <v>496</v>
      </c>
      <c r="C601" t="s">
        <v>791</v>
      </c>
      <c r="D601" t="s">
        <v>792</v>
      </c>
      <c r="E601" t="s">
        <v>656</v>
      </c>
      <c r="F601" t="s">
        <v>657</v>
      </c>
      <c r="G601" s="4">
        <v>1715.51</v>
      </c>
    </row>
    <row r="602" spans="1:7" x14ac:dyDescent="0.35">
      <c r="A602" t="s">
        <v>497</v>
      </c>
      <c r="B602" t="s">
        <v>498</v>
      </c>
      <c r="C602" t="s">
        <v>791</v>
      </c>
      <c r="D602" t="s">
        <v>792</v>
      </c>
      <c r="E602" t="s">
        <v>656</v>
      </c>
      <c r="F602" t="s">
        <v>657</v>
      </c>
      <c r="G602" s="4">
        <v>1982.79</v>
      </c>
    </row>
    <row r="603" spans="1:7" x14ac:dyDescent="0.35">
      <c r="A603" t="s">
        <v>499</v>
      </c>
      <c r="B603" t="s">
        <v>500</v>
      </c>
      <c r="C603" t="s">
        <v>791</v>
      </c>
      <c r="D603" t="s">
        <v>792</v>
      </c>
      <c r="E603" t="s">
        <v>656</v>
      </c>
      <c r="F603" t="s">
        <v>657</v>
      </c>
      <c r="G603" s="4">
        <v>2286.02</v>
      </c>
    </row>
    <row r="604" spans="1:7" x14ac:dyDescent="0.35">
      <c r="A604" t="s">
        <v>501</v>
      </c>
      <c r="B604" t="s">
        <v>502</v>
      </c>
      <c r="C604" t="s">
        <v>791</v>
      </c>
      <c r="D604" t="s">
        <v>792</v>
      </c>
      <c r="E604" t="s">
        <v>656</v>
      </c>
      <c r="F604" t="s">
        <v>657</v>
      </c>
      <c r="G604" s="4">
        <v>1210.74</v>
      </c>
    </row>
    <row r="605" spans="1:7" x14ac:dyDescent="0.35">
      <c r="A605" t="s">
        <v>503</v>
      </c>
      <c r="B605" t="s">
        <v>411</v>
      </c>
      <c r="C605" t="s">
        <v>791</v>
      </c>
      <c r="D605" t="s">
        <v>792</v>
      </c>
      <c r="E605" t="s">
        <v>656</v>
      </c>
      <c r="F605" t="s">
        <v>657</v>
      </c>
      <c r="G605" s="4">
        <v>1367.25</v>
      </c>
    </row>
    <row r="606" spans="1:7" x14ac:dyDescent="0.35">
      <c r="A606" t="s">
        <v>504</v>
      </c>
      <c r="B606" t="s">
        <v>505</v>
      </c>
      <c r="C606" t="s">
        <v>791</v>
      </c>
      <c r="D606" t="s">
        <v>792</v>
      </c>
      <c r="E606" t="s">
        <v>656</v>
      </c>
      <c r="F606" t="s">
        <v>657</v>
      </c>
      <c r="G606" s="4">
        <v>798.18</v>
      </c>
    </row>
    <row r="607" spans="1:7" x14ac:dyDescent="0.35">
      <c r="A607" t="s">
        <v>506</v>
      </c>
      <c r="B607" t="s">
        <v>507</v>
      </c>
      <c r="C607" t="s">
        <v>791</v>
      </c>
      <c r="D607" t="s">
        <v>792</v>
      </c>
      <c r="E607" t="s">
        <v>656</v>
      </c>
      <c r="F607" t="s">
        <v>657</v>
      </c>
      <c r="G607" s="4">
        <v>1589.17</v>
      </c>
    </row>
    <row r="608" spans="1:7" x14ac:dyDescent="0.35">
      <c r="A608" t="s">
        <v>508</v>
      </c>
      <c r="B608" t="s">
        <v>374</v>
      </c>
      <c r="C608" t="s">
        <v>791</v>
      </c>
      <c r="D608" t="s">
        <v>792</v>
      </c>
      <c r="E608" t="s">
        <v>656</v>
      </c>
      <c r="F608" t="s">
        <v>657</v>
      </c>
      <c r="G608" s="4">
        <v>2166.31</v>
      </c>
    </row>
    <row r="609" spans="1:7" x14ac:dyDescent="0.35">
      <c r="A609" t="s">
        <v>509</v>
      </c>
      <c r="B609" t="s">
        <v>299</v>
      </c>
      <c r="C609" t="s">
        <v>791</v>
      </c>
      <c r="D609" t="s">
        <v>792</v>
      </c>
      <c r="E609" t="s">
        <v>656</v>
      </c>
      <c r="F609" t="s">
        <v>657</v>
      </c>
      <c r="G609" s="4">
        <v>569.1</v>
      </c>
    </row>
    <row r="610" spans="1:7" x14ac:dyDescent="0.35">
      <c r="A610" t="s">
        <v>510</v>
      </c>
      <c r="B610" t="s">
        <v>438</v>
      </c>
      <c r="C610" t="s">
        <v>791</v>
      </c>
      <c r="D610" t="s">
        <v>792</v>
      </c>
      <c r="E610" t="s">
        <v>656</v>
      </c>
      <c r="F610" t="s">
        <v>657</v>
      </c>
      <c r="G610" s="4">
        <v>2495.21</v>
      </c>
    </row>
    <row r="611" spans="1:7" x14ac:dyDescent="0.35">
      <c r="A611" t="s">
        <v>511</v>
      </c>
      <c r="B611" t="s">
        <v>85</v>
      </c>
      <c r="C611" t="s">
        <v>791</v>
      </c>
      <c r="D611" t="s">
        <v>792</v>
      </c>
      <c r="E611" t="s">
        <v>656</v>
      </c>
      <c r="F611" t="s">
        <v>657</v>
      </c>
      <c r="G611" s="4">
        <v>835.2</v>
      </c>
    </row>
    <row r="612" spans="1:7" x14ac:dyDescent="0.35">
      <c r="A612" t="s">
        <v>512</v>
      </c>
      <c r="B612" t="s">
        <v>42</v>
      </c>
      <c r="C612" t="s">
        <v>791</v>
      </c>
      <c r="D612" t="s">
        <v>792</v>
      </c>
      <c r="E612" t="s">
        <v>656</v>
      </c>
      <c r="F612" t="s">
        <v>657</v>
      </c>
      <c r="G612" s="4">
        <v>1348.18</v>
      </c>
    </row>
    <row r="613" spans="1:7" x14ac:dyDescent="0.35">
      <c r="A613" t="s">
        <v>513</v>
      </c>
      <c r="B613" t="s">
        <v>97</v>
      </c>
      <c r="C613" t="s">
        <v>791</v>
      </c>
      <c r="D613" t="s">
        <v>792</v>
      </c>
      <c r="E613" t="s">
        <v>656</v>
      </c>
      <c r="F613" t="s">
        <v>657</v>
      </c>
      <c r="G613" s="4">
        <v>1443.92</v>
      </c>
    </row>
    <row r="614" spans="1:7" x14ac:dyDescent="0.35">
      <c r="A614" t="s">
        <v>514</v>
      </c>
      <c r="B614" t="s">
        <v>297</v>
      </c>
      <c r="C614" t="s">
        <v>791</v>
      </c>
      <c r="D614" t="s">
        <v>792</v>
      </c>
      <c r="E614" t="s">
        <v>656</v>
      </c>
      <c r="F614" t="s">
        <v>657</v>
      </c>
      <c r="G614" s="4">
        <v>2359.12</v>
      </c>
    </row>
    <row r="615" spans="1:7" x14ac:dyDescent="0.35">
      <c r="A615" t="s">
        <v>515</v>
      </c>
      <c r="B615" t="s">
        <v>30</v>
      </c>
      <c r="C615" t="s">
        <v>791</v>
      </c>
      <c r="D615" t="s">
        <v>792</v>
      </c>
      <c r="E615" t="s">
        <v>656</v>
      </c>
      <c r="F615" t="s">
        <v>657</v>
      </c>
      <c r="G615" s="4">
        <v>1529.23</v>
      </c>
    </row>
    <row r="616" spans="1:7" x14ac:dyDescent="0.35">
      <c r="A616" t="s">
        <v>516</v>
      </c>
      <c r="B616" t="s">
        <v>517</v>
      </c>
      <c r="C616" t="s">
        <v>791</v>
      </c>
      <c r="D616" t="s">
        <v>792</v>
      </c>
      <c r="E616" t="s">
        <v>656</v>
      </c>
      <c r="F616" t="s">
        <v>657</v>
      </c>
      <c r="G616" s="4">
        <v>2306.88</v>
      </c>
    </row>
    <row r="617" spans="1:7" x14ac:dyDescent="0.35">
      <c r="A617" t="s">
        <v>518</v>
      </c>
      <c r="B617" t="s">
        <v>259</v>
      </c>
      <c r="C617" t="s">
        <v>791</v>
      </c>
      <c r="D617" t="s">
        <v>792</v>
      </c>
      <c r="E617" t="s">
        <v>656</v>
      </c>
      <c r="F617" t="s">
        <v>657</v>
      </c>
      <c r="G617" s="4">
        <v>1427.61</v>
      </c>
    </row>
    <row r="618" spans="1:7" x14ac:dyDescent="0.35">
      <c r="A618" t="s">
        <v>519</v>
      </c>
      <c r="B618" t="s">
        <v>520</v>
      </c>
      <c r="C618" t="s">
        <v>791</v>
      </c>
      <c r="D618" t="s">
        <v>792</v>
      </c>
      <c r="E618" t="s">
        <v>656</v>
      </c>
      <c r="F618" t="s">
        <v>657</v>
      </c>
      <c r="G618" s="4">
        <v>1597.39</v>
      </c>
    </row>
    <row r="619" spans="1:7" x14ac:dyDescent="0.35">
      <c r="A619" t="s">
        <v>521</v>
      </c>
      <c r="B619" t="s">
        <v>522</v>
      </c>
      <c r="C619" t="s">
        <v>791</v>
      </c>
      <c r="D619" t="s">
        <v>792</v>
      </c>
      <c r="E619" t="s">
        <v>656</v>
      </c>
      <c r="F619" t="s">
        <v>657</v>
      </c>
      <c r="G619" s="4">
        <v>1444.41</v>
      </c>
    </row>
    <row r="620" spans="1:7" x14ac:dyDescent="0.35">
      <c r="A620" t="s">
        <v>523</v>
      </c>
      <c r="B620" t="s">
        <v>524</v>
      </c>
      <c r="C620" t="s">
        <v>791</v>
      </c>
      <c r="D620" t="s">
        <v>792</v>
      </c>
      <c r="E620" t="s">
        <v>656</v>
      </c>
      <c r="F620" t="s">
        <v>657</v>
      </c>
      <c r="G620" s="4">
        <v>1445.02</v>
      </c>
    </row>
    <row r="621" spans="1:7" x14ac:dyDescent="0.35">
      <c r="A621" t="s">
        <v>525</v>
      </c>
      <c r="B621" t="s">
        <v>440</v>
      </c>
      <c r="C621" t="s">
        <v>791</v>
      </c>
      <c r="D621" t="s">
        <v>792</v>
      </c>
      <c r="E621" t="s">
        <v>656</v>
      </c>
      <c r="F621" t="s">
        <v>657</v>
      </c>
      <c r="G621" s="4">
        <v>1854.22</v>
      </c>
    </row>
    <row r="622" spans="1:7" x14ac:dyDescent="0.35">
      <c r="A622" t="s">
        <v>526</v>
      </c>
      <c r="B622" t="s">
        <v>527</v>
      </c>
      <c r="C622" t="s">
        <v>791</v>
      </c>
      <c r="D622" t="s">
        <v>792</v>
      </c>
      <c r="E622" t="s">
        <v>656</v>
      </c>
      <c r="F622" t="s">
        <v>657</v>
      </c>
      <c r="G622" s="4">
        <v>1239.52</v>
      </c>
    </row>
    <row r="623" spans="1:7" x14ac:dyDescent="0.35">
      <c r="A623" t="s">
        <v>528</v>
      </c>
      <c r="B623" t="s">
        <v>529</v>
      </c>
      <c r="C623" t="s">
        <v>791</v>
      </c>
      <c r="D623" t="s">
        <v>792</v>
      </c>
      <c r="E623" t="s">
        <v>656</v>
      </c>
      <c r="F623" t="s">
        <v>657</v>
      </c>
      <c r="G623" s="4">
        <v>2019.28</v>
      </c>
    </row>
    <row r="624" spans="1:7" x14ac:dyDescent="0.35">
      <c r="A624" t="s">
        <v>530</v>
      </c>
      <c r="B624" t="s">
        <v>225</v>
      </c>
      <c r="C624" t="s">
        <v>791</v>
      </c>
      <c r="D624" t="s">
        <v>792</v>
      </c>
      <c r="E624" t="s">
        <v>656</v>
      </c>
      <c r="F624" t="s">
        <v>657</v>
      </c>
      <c r="G624" s="4">
        <v>1549.07</v>
      </c>
    </row>
    <row r="625" spans="1:7" x14ac:dyDescent="0.35">
      <c r="A625" t="s">
        <v>531</v>
      </c>
      <c r="B625" t="s">
        <v>443</v>
      </c>
      <c r="C625" t="s">
        <v>791</v>
      </c>
      <c r="D625" t="s">
        <v>792</v>
      </c>
      <c r="E625" t="s">
        <v>656</v>
      </c>
      <c r="F625" t="s">
        <v>657</v>
      </c>
      <c r="G625" s="4">
        <v>1026.3699999999999</v>
      </c>
    </row>
    <row r="626" spans="1:7" x14ac:dyDescent="0.35">
      <c r="A626" t="s">
        <v>532</v>
      </c>
      <c r="B626" t="s">
        <v>463</v>
      </c>
      <c r="C626" t="s">
        <v>791</v>
      </c>
      <c r="D626" t="s">
        <v>792</v>
      </c>
      <c r="E626" t="s">
        <v>656</v>
      </c>
      <c r="F626" t="s">
        <v>657</v>
      </c>
      <c r="G626" s="4">
        <v>2047.24</v>
      </c>
    </row>
    <row r="627" spans="1:7" x14ac:dyDescent="0.35">
      <c r="A627" t="s">
        <v>533</v>
      </c>
      <c r="B627" t="s">
        <v>534</v>
      </c>
      <c r="C627" t="s">
        <v>791</v>
      </c>
      <c r="D627" t="s">
        <v>792</v>
      </c>
      <c r="E627" t="s">
        <v>656</v>
      </c>
      <c r="F627" t="s">
        <v>657</v>
      </c>
      <c r="G627" s="4">
        <v>1270.49</v>
      </c>
    </row>
    <row r="628" spans="1:7" x14ac:dyDescent="0.35">
      <c r="A628" t="s">
        <v>535</v>
      </c>
      <c r="B628" t="s">
        <v>536</v>
      </c>
      <c r="C628" t="s">
        <v>791</v>
      </c>
      <c r="D628" t="s">
        <v>792</v>
      </c>
      <c r="E628" t="s">
        <v>656</v>
      </c>
      <c r="F628" t="s">
        <v>657</v>
      </c>
      <c r="G628" s="4">
        <v>2178.91</v>
      </c>
    </row>
    <row r="629" spans="1:7" x14ac:dyDescent="0.35">
      <c r="A629" t="s">
        <v>537</v>
      </c>
      <c r="B629" t="s">
        <v>87</v>
      </c>
      <c r="C629" t="s">
        <v>791</v>
      </c>
      <c r="D629" t="s">
        <v>792</v>
      </c>
      <c r="E629" t="s">
        <v>656</v>
      </c>
      <c r="F629" t="s">
        <v>657</v>
      </c>
      <c r="G629" s="4">
        <v>2118.91</v>
      </c>
    </row>
    <row r="630" spans="1:7" x14ac:dyDescent="0.35">
      <c r="A630" t="s">
        <v>538</v>
      </c>
      <c r="B630" t="s">
        <v>539</v>
      </c>
      <c r="C630" t="s">
        <v>791</v>
      </c>
      <c r="D630" t="s">
        <v>792</v>
      </c>
      <c r="E630" t="s">
        <v>656</v>
      </c>
      <c r="F630" t="s">
        <v>657</v>
      </c>
      <c r="G630" s="4">
        <v>1305.58</v>
      </c>
    </row>
    <row r="631" spans="1:7" x14ac:dyDescent="0.35">
      <c r="A631" t="s">
        <v>540</v>
      </c>
      <c r="B631" t="s">
        <v>286</v>
      </c>
      <c r="C631" t="s">
        <v>791</v>
      </c>
      <c r="D631" t="s">
        <v>792</v>
      </c>
      <c r="E631" t="s">
        <v>656</v>
      </c>
      <c r="F631" t="s">
        <v>657</v>
      </c>
      <c r="G631" s="4">
        <v>2085.2399999999998</v>
      </c>
    </row>
    <row r="632" spans="1:7" x14ac:dyDescent="0.35">
      <c r="A632" t="s">
        <v>541</v>
      </c>
      <c r="B632" t="s">
        <v>542</v>
      </c>
      <c r="C632" t="s">
        <v>791</v>
      </c>
      <c r="D632" t="s">
        <v>792</v>
      </c>
      <c r="E632" t="s">
        <v>656</v>
      </c>
      <c r="F632" t="s">
        <v>657</v>
      </c>
      <c r="G632" s="4">
        <v>2056.38</v>
      </c>
    </row>
    <row r="633" spans="1:7" x14ac:dyDescent="0.35">
      <c r="A633" t="s">
        <v>543</v>
      </c>
      <c r="B633" t="s">
        <v>71</v>
      </c>
      <c r="C633" t="s">
        <v>791</v>
      </c>
      <c r="D633" t="s">
        <v>792</v>
      </c>
      <c r="E633" t="s">
        <v>656</v>
      </c>
      <c r="F633" t="s">
        <v>657</v>
      </c>
      <c r="G633" s="4">
        <v>751.92</v>
      </c>
    </row>
    <row r="634" spans="1:7" x14ac:dyDescent="0.35">
      <c r="A634" t="s">
        <v>544</v>
      </c>
      <c r="B634" t="s">
        <v>205</v>
      </c>
      <c r="C634" t="s">
        <v>791</v>
      </c>
      <c r="D634" t="s">
        <v>792</v>
      </c>
      <c r="E634" t="s">
        <v>656</v>
      </c>
      <c r="F634" t="s">
        <v>657</v>
      </c>
      <c r="G634" s="4">
        <v>1584.05</v>
      </c>
    </row>
    <row r="635" spans="1:7" x14ac:dyDescent="0.35">
      <c r="A635" t="s">
        <v>545</v>
      </c>
      <c r="B635" t="s">
        <v>546</v>
      </c>
      <c r="C635" t="s">
        <v>791</v>
      </c>
      <c r="D635" t="s">
        <v>792</v>
      </c>
      <c r="E635" t="s">
        <v>656</v>
      </c>
      <c r="F635" t="s">
        <v>657</v>
      </c>
      <c r="G635" s="4">
        <v>1322.21</v>
      </c>
    </row>
    <row r="636" spans="1:7" x14ac:dyDescent="0.35">
      <c r="A636" t="s">
        <v>547</v>
      </c>
      <c r="B636" t="s">
        <v>49</v>
      </c>
      <c r="C636" t="s">
        <v>791</v>
      </c>
      <c r="D636" t="s">
        <v>792</v>
      </c>
      <c r="E636" t="s">
        <v>656</v>
      </c>
      <c r="F636" t="s">
        <v>657</v>
      </c>
      <c r="G636" s="4">
        <v>1766.62</v>
      </c>
    </row>
    <row r="637" spans="1:7" x14ac:dyDescent="0.35">
      <c r="A637" t="s">
        <v>548</v>
      </c>
      <c r="B637" t="s">
        <v>389</v>
      </c>
      <c r="C637" t="s">
        <v>791</v>
      </c>
      <c r="D637" t="s">
        <v>792</v>
      </c>
      <c r="E637" t="s">
        <v>656</v>
      </c>
      <c r="F637" t="s">
        <v>657</v>
      </c>
      <c r="G637" s="4">
        <v>784.53</v>
      </c>
    </row>
    <row r="638" spans="1:7" x14ac:dyDescent="0.35">
      <c r="A638" t="s">
        <v>549</v>
      </c>
      <c r="B638" t="s">
        <v>550</v>
      </c>
      <c r="C638" t="s">
        <v>791</v>
      </c>
      <c r="D638" t="s">
        <v>792</v>
      </c>
      <c r="E638" t="s">
        <v>656</v>
      </c>
      <c r="F638" t="s">
        <v>657</v>
      </c>
      <c r="G638" s="4">
        <v>1335.72</v>
      </c>
    </row>
    <row r="639" spans="1:7" x14ac:dyDescent="0.35">
      <c r="A639" t="s">
        <v>551</v>
      </c>
      <c r="B639" t="s">
        <v>552</v>
      </c>
      <c r="C639" t="s">
        <v>791</v>
      </c>
      <c r="D639" t="s">
        <v>792</v>
      </c>
      <c r="E639" t="s">
        <v>656</v>
      </c>
      <c r="F639" t="s">
        <v>657</v>
      </c>
      <c r="G639" s="4">
        <v>1004.45</v>
      </c>
    </row>
    <row r="640" spans="1:7" x14ac:dyDescent="0.35">
      <c r="A640" t="s">
        <v>553</v>
      </c>
      <c r="B640" t="s">
        <v>554</v>
      </c>
      <c r="C640" t="s">
        <v>791</v>
      </c>
      <c r="D640" t="s">
        <v>792</v>
      </c>
      <c r="E640" t="s">
        <v>656</v>
      </c>
      <c r="F640" t="s">
        <v>657</v>
      </c>
      <c r="G640" s="4">
        <v>2421.91</v>
      </c>
    </row>
    <row r="641" spans="1:7" x14ac:dyDescent="0.35">
      <c r="A641" t="s">
        <v>555</v>
      </c>
      <c r="B641" t="s">
        <v>556</v>
      </c>
      <c r="C641" t="s">
        <v>791</v>
      </c>
      <c r="D641" t="s">
        <v>792</v>
      </c>
      <c r="E641" t="s">
        <v>656</v>
      </c>
      <c r="F641" t="s">
        <v>657</v>
      </c>
      <c r="G641" s="4">
        <v>759.63</v>
      </c>
    </row>
    <row r="642" spans="1:7" x14ac:dyDescent="0.35">
      <c r="A642" t="s">
        <v>557</v>
      </c>
      <c r="B642" t="s">
        <v>550</v>
      </c>
      <c r="C642" t="s">
        <v>791</v>
      </c>
      <c r="D642" t="s">
        <v>792</v>
      </c>
      <c r="E642" t="s">
        <v>656</v>
      </c>
      <c r="F642" t="s">
        <v>657</v>
      </c>
      <c r="G642" s="4">
        <v>2291.48</v>
      </c>
    </row>
    <row r="643" spans="1:7" x14ac:dyDescent="0.35">
      <c r="A643" t="s">
        <v>558</v>
      </c>
      <c r="B643" t="s">
        <v>314</v>
      </c>
      <c r="C643" t="s">
        <v>791</v>
      </c>
      <c r="D643" t="s">
        <v>792</v>
      </c>
      <c r="E643" t="s">
        <v>656</v>
      </c>
      <c r="F643" t="s">
        <v>657</v>
      </c>
      <c r="G643" s="4">
        <v>947.71</v>
      </c>
    </row>
    <row r="644" spans="1:7" x14ac:dyDescent="0.35">
      <c r="A644" t="s">
        <v>559</v>
      </c>
      <c r="B644" t="s">
        <v>401</v>
      </c>
      <c r="C644" t="s">
        <v>791</v>
      </c>
      <c r="D644" t="s">
        <v>792</v>
      </c>
      <c r="E644" t="s">
        <v>656</v>
      </c>
      <c r="F644" t="s">
        <v>657</v>
      </c>
      <c r="G644" s="4">
        <v>2382.1</v>
      </c>
    </row>
    <row r="645" spans="1:7" x14ac:dyDescent="0.35">
      <c r="A645" t="s">
        <v>560</v>
      </c>
      <c r="B645" t="s">
        <v>345</v>
      </c>
      <c r="C645" t="s">
        <v>791</v>
      </c>
      <c r="D645" t="s">
        <v>792</v>
      </c>
      <c r="E645" t="s">
        <v>656</v>
      </c>
      <c r="F645" t="s">
        <v>657</v>
      </c>
      <c r="G645" s="4">
        <v>1972.49</v>
      </c>
    </row>
    <row r="646" spans="1:7" x14ac:dyDescent="0.35">
      <c r="A646" t="s">
        <v>561</v>
      </c>
      <c r="B646" t="s">
        <v>562</v>
      </c>
      <c r="C646" t="s">
        <v>791</v>
      </c>
      <c r="D646" t="s">
        <v>792</v>
      </c>
      <c r="E646" t="s">
        <v>656</v>
      </c>
      <c r="F646" t="s">
        <v>657</v>
      </c>
      <c r="G646" s="4">
        <v>2383.1</v>
      </c>
    </row>
    <row r="647" spans="1:7" x14ac:dyDescent="0.35">
      <c r="A647" t="s">
        <v>563</v>
      </c>
      <c r="B647" t="s">
        <v>73</v>
      </c>
      <c r="C647" t="s">
        <v>791</v>
      </c>
      <c r="D647" t="s">
        <v>792</v>
      </c>
      <c r="E647" t="s">
        <v>656</v>
      </c>
      <c r="F647" t="s">
        <v>657</v>
      </c>
      <c r="G647" s="4">
        <v>1127.3900000000001</v>
      </c>
    </row>
    <row r="648" spans="1:7" x14ac:dyDescent="0.35">
      <c r="A648" t="s">
        <v>564</v>
      </c>
      <c r="B648" t="s">
        <v>565</v>
      </c>
      <c r="C648" t="s">
        <v>791</v>
      </c>
      <c r="D648" t="s">
        <v>792</v>
      </c>
      <c r="E648" t="s">
        <v>656</v>
      </c>
      <c r="F648" t="s">
        <v>657</v>
      </c>
      <c r="G648" s="4">
        <v>683.13</v>
      </c>
    </row>
    <row r="649" spans="1:7" x14ac:dyDescent="0.35">
      <c r="A649" t="s">
        <v>566</v>
      </c>
      <c r="B649" t="s">
        <v>133</v>
      </c>
      <c r="C649" t="s">
        <v>791</v>
      </c>
      <c r="D649" t="s">
        <v>792</v>
      </c>
      <c r="E649" t="s">
        <v>656</v>
      </c>
      <c r="F649" t="s">
        <v>657</v>
      </c>
      <c r="G649" s="4">
        <v>2446.83</v>
      </c>
    </row>
    <row r="650" spans="1:7" x14ac:dyDescent="0.35">
      <c r="A650" t="s">
        <v>567</v>
      </c>
      <c r="B650" t="s">
        <v>160</v>
      </c>
      <c r="C650" t="s">
        <v>791</v>
      </c>
      <c r="D650" t="s">
        <v>792</v>
      </c>
      <c r="E650" t="s">
        <v>656</v>
      </c>
      <c r="F650" t="s">
        <v>657</v>
      </c>
      <c r="G650" s="4">
        <v>1861.29</v>
      </c>
    </row>
    <row r="651" spans="1:7" x14ac:dyDescent="0.35">
      <c r="A651" t="s">
        <v>568</v>
      </c>
      <c r="B651" t="s">
        <v>569</v>
      </c>
      <c r="C651" t="s">
        <v>791</v>
      </c>
      <c r="D651" t="s">
        <v>792</v>
      </c>
      <c r="E651" t="s">
        <v>656</v>
      </c>
      <c r="F651" t="s">
        <v>657</v>
      </c>
      <c r="G651" s="4">
        <v>1436.51</v>
      </c>
    </row>
    <row r="652" spans="1:7" x14ac:dyDescent="0.35">
      <c r="A652" t="s">
        <v>570</v>
      </c>
      <c r="B652" t="s">
        <v>565</v>
      </c>
      <c r="C652" t="s">
        <v>791</v>
      </c>
      <c r="D652" t="s">
        <v>792</v>
      </c>
      <c r="E652" t="s">
        <v>656</v>
      </c>
      <c r="F652" t="s">
        <v>657</v>
      </c>
      <c r="G652" s="4">
        <v>2259.69</v>
      </c>
    </row>
    <row r="653" spans="1:7" x14ac:dyDescent="0.35">
      <c r="A653" t="s">
        <v>571</v>
      </c>
      <c r="B653" t="s">
        <v>391</v>
      </c>
      <c r="C653" t="s">
        <v>791</v>
      </c>
      <c r="D653" t="s">
        <v>792</v>
      </c>
      <c r="E653" t="s">
        <v>656</v>
      </c>
      <c r="F653" t="s">
        <v>657</v>
      </c>
      <c r="G653" s="4">
        <v>805.05</v>
      </c>
    </row>
    <row r="654" spans="1:7" x14ac:dyDescent="0.35">
      <c r="A654" t="s">
        <v>572</v>
      </c>
      <c r="B654" t="s">
        <v>233</v>
      </c>
      <c r="C654" t="s">
        <v>791</v>
      </c>
      <c r="D654" t="s">
        <v>792</v>
      </c>
      <c r="E654" t="s">
        <v>656</v>
      </c>
      <c r="F654" t="s">
        <v>657</v>
      </c>
      <c r="G654" s="4">
        <v>2035.47</v>
      </c>
    </row>
    <row r="655" spans="1:7" x14ac:dyDescent="0.35">
      <c r="A655" t="s">
        <v>573</v>
      </c>
      <c r="B655" t="s">
        <v>574</v>
      </c>
      <c r="C655" t="s">
        <v>791</v>
      </c>
      <c r="D655" t="s">
        <v>792</v>
      </c>
      <c r="E655" t="s">
        <v>656</v>
      </c>
      <c r="F655" t="s">
        <v>657</v>
      </c>
      <c r="G655" s="4">
        <v>640.16</v>
      </c>
    </row>
    <row r="656" spans="1:7" x14ac:dyDescent="0.35">
      <c r="A656" t="s">
        <v>575</v>
      </c>
      <c r="B656" t="s">
        <v>120</v>
      </c>
      <c r="C656" t="s">
        <v>791</v>
      </c>
      <c r="D656" t="s">
        <v>792</v>
      </c>
      <c r="E656" t="s">
        <v>656</v>
      </c>
      <c r="F656" t="s">
        <v>657</v>
      </c>
      <c r="G656" s="4">
        <v>1655.34</v>
      </c>
    </row>
    <row r="657" spans="1:7" x14ac:dyDescent="0.35">
      <c r="A657" t="s">
        <v>576</v>
      </c>
      <c r="B657" t="s">
        <v>577</v>
      </c>
      <c r="C657" t="s">
        <v>791</v>
      </c>
      <c r="D657" t="s">
        <v>792</v>
      </c>
      <c r="E657" t="s">
        <v>656</v>
      </c>
      <c r="F657" t="s">
        <v>657</v>
      </c>
      <c r="G657" s="4">
        <v>1724.81</v>
      </c>
    </row>
    <row r="658" spans="1:7" x14ac:dyDescent="0.35">
      <c r="A658" t="s">
        <v>578</v>
      </c>
      <c r="B658" t="s">
        <v>579</v>
      </c>
      <c r="C658" t="s">
        <v>791</v>
      </c>
      <c r="D658" t="s">
        <v>792</v>
      </c>
      <c r="E658" t="s">
        <v>656</v>
      </c>
      <c r="F658" t="s">
        <v>657</v>
      </c>
      <c r="G658" s="4">
        <v>2243.02</v>
      </c>
    </row>
    <row r="659" spans="1:7" x14ac:dyDescent="0.35">
      <c r="A659" t="s">
        <v>580</v>
      </c>
      <c r="B659" t="s">
        <v>284</v>
      </c>
      <c r="C659" t="s">
        <v>791</v>
      </c>
      <c r="D659" t="s">
        <v>792</v>
      </c>
      <c r="E659" t="s">
        <v>656</v>
      </c>
      <c r="F659" t="s">
        <v>657</v>
      </c>
      <c r="G659" s="4">
        <v>667.85</v>
      </c>
    </row>
    <row r="660" spans="1:7" x14ac:dyDescent="0.35">
      <c r="A660" t="s">
        <v>581</v>
      </c>
      <c r="B660" t="s">
        <v>158</v>
      </c>
      <c r="C660" t="s">
        <v>791</v>
      </c>
      <c r="D660" t="s">
        <v>792</v>
      </c>
      <c r="E660" t="s">
        <v>656</v>
      </c>
      <c r="F660" t="s">
        <v>657</v>
      </c>
      <c r="G660" s="4">
        <v>1357.8</v>
      </c>
    </row>
    <row r="661" spans="1:7" x14ac:dyDescent="0.35">
      <c r="A661" t="s">
        <v>582</v>
      </c>
      <c r="B661" t="s">
        <v>536</v>
      </c>
      <c r="C661" t="s">
        <v>791</v>
      </c>
      <c r="D661" t="s">
        <v>792</v>
      </c>
      <c r="E661" t="s">
        <v>656</v>
      </c>
      <c r="F661" t="s">
        <v>657</v>
      </c>
      <c r="G661" s="4">
        <v>1782.89</v>
      </c>
    </row>
    <row r="662" spans="1:7" x14ac:dyDescent="0.35">
      <c r="A662" t="s">
        <v>583</v>
      </c>
      <c r="B662" t="s">
        <v>345</v>
      </c>
      <c r="C662" t="s">
        <v>791</v>
      </c>
      <c r="D662" t="s">
        <v>792</v>
      </c>
      <c r="E662" t="s">
        <v>656</v>
      </c>
      <c r="F662" t="s">
        <v>657</v>
      </c>
      <c r="G662" s="4">
        <v>1534.26</v>
      </c>
    </row>
    <row r="663" spans="1:7" x14ac:dyDescent="0.35">
      <c r="A663" t="s">
        <v>584</v>
      </c>
      <c r="B663" t="s">
        <v>585</v>
      </c>
      <c r="C663" t="s">
        <v>791</v>
      </c>
      <c r="D663" t="s">
        <v>792</v>
      </c>
      <c r="E663" t="s">
        <v>656</v>
      </c>
      <c r="F663" t="s">
        <v>657</v>
      </c>
      <c r="G663" s="4">
        <v>1936.14</v>
      </c>
    </row>
    <row r="664" spans="1:7" x14ac:dyDescent="0.35">
      <c r="A664" t="s">
        <v>586</v>
      </c>
      <c r="B664" t="s">
        <v>156</v>
      </c>
      <c r="C664" t="s">
        <v>791</v>
      </c>
      <c r="D664" t="s">
        <v>792</v>
      </c>
      <c r="E664" t="s">
        <v>656</v>
      </c>
      <c r="F664" t="s">
        <v>657</v>
      </c>
      <c r="G664" s="4">
        <v>1734.99</v>
      </c>
    </row>
    <row r="665" spans="1:7" x14ac:dyDescent="0.35">
      <c r="A665" t="s">
        <v>587</v>
      </c>
      <c r="B665" t="s">
        <v>588</v>
      </c>
      <c r="C665" t="s">
        <v>791</v>
      </c>
      <c r="D665" t="s">
        <v>792</v>
      </c>
      <c r="E665" t="s">
        <v>656</v>
      </c>
      <c r="F665" t="s">
        <v>657</v>
      </c>
      <c r="G665" s="4">
        <v>2130.84</v>
      </c>
    </row>
    <row r="666" spans="1:7" x14ac:dyDescent="0.35">
      <c r="A666" t="s">
        <v>589</v>
      </c>
      <c r="B666" t="s">
        <v>59</v>
      </c>
      <c r="C666" t="s">
        <v>791</v>
      </c>
      <c r="D666" t="s">
        <v>792</v>
      </c>
      <c r="E666" t="s">
        <v>656</v>
      </c>
      <c r="F666" t="s">
        <v>657</v>
      </c>
      <c r="G666" s="4">
        <v>1125.51</v>
      </c>
    </row>
    <row r="667" spans="1:7" x14ac:dyDescent="0.35">
      <c r="A667" t="s">
        <v>590</v>
      </c>
      <c r="B667" t="s">
        <v>588</v>
      </c>
      <c r="C667" t="s">
        <v>791</v>
      </c>
      <c r="D667" t="s">
        <v>792</v>
      </c>
      <c r="E667" t="s">
        <v>656</v>
      </c>
      <c r="F667" t="s">
        <v>657</v>
      </c>
      <c r="G667" s="4">
        <v>2333.92</v>
      </c>
    </row>
    <row r="668" spans="1:7" x14ac:dyDescent="0.35">
      <c r="A668" t="s">
        <v>591</v>
      </c>
      <c r="B668" t="s">
        <v>173</v>
      </c>
      <c r="C668" t="s">
        <v>791</v>
      </c>
      <c r="D668" t="s">
        <v>792</v>
      </c>
      <c r="E668" t="s">
        <v>656</v>
      </c>
      <c r="F668" t="s">
        <v>657</v>
      </c>
      <c r="G668" s="4">
        <v>1160.42</v>
      </c>
    </row>
    <row r="669" spans="1:7" x14ac:dyDescent="0.35">
      <c r="A669" t="s">
        <v>592</v>
      </c>
      <c r="B669" t="s">
        <v>493</v>
      </c>
      <c r="C669" t="s">
        <v>791</v>
      </c>
      <c r="D669" t="s">
        <v>792</v>
      </c>
      <c r="E669" t="s">
        <v>656</v>
      </c>
      <c r="F669" t="s">
        <v>657</v>
      </c>
      <c r="G669" s="4">
        <v>1752.84</v>
      </c>
    </row>
    <row r="670" spans="1:7" x14ac:dyDescent="0.35">
      <c r="A670" t="s">
        <v>593</v>
      </c>
      <c r="B670" t="s">
        <v>65</v>
      </c>
      <c r="C670" t="s">
        <v>791</v>
      </c>
      <c r="D670" t="s">
        <v>792</v>
      </c>
      <c r="E670" t="s">
        <v>656</v>
      </c>
      <c r="F670" t="s">
        <v>657</v>
      </c>
      <c r="G670" s="4">
        <v>1368.59</v>
      </c>
    </row>
    <row r="671" spans="1:7" x14ac:dyDescent="0.35">
      <c r="A671" t="s">
        <v>594</v>
      </c>
      <c r="B671" t="s">
        <v>49</v>
      </c>
      <c r="C671" t="s">
        <v>791</v>
      </c>
      <c r="D671" t="s">
        <v>792</v>
      </c>
      <c r="E671" t="s">
        <v>656</v>
      </c>
      <c r="F671" t="s">
        <v>657</v>
      </c>
      <c r="G671" s="4">
        <v>1976.9</v>
      </c>
    </row>
    <row r="672" spans="1:7" x14ac:dyDescent="0.35">
      <c r="A672" t="s">
        <v>595</v>
      </c>
      <c r="B672" t="s">
        <v>596</v>
      </c>
      <c r="C672" t="s">
        <v>791</v>
      </c>
      <c r="D672" t="s">
        <v>792</v>
      </c>
      <c r="E672" t="s">
        <v>656</v>
      </c>
      <c r="F672" t="s">
        <v>657</v>
      </c>
      <c r="G672" s="4">
        <v>1434.1</v>
      </c>
    </row>
    <row r="673" spans="1:7" x14ac:dyDescent="0.35">
      <c r="A673" t="s">
        <v>597</v>
      </c>
      <c r="B673" t="s">
        <v>374</v>
      </c>
      <c r="C673" t="s">
        <v>791</v>
      </c>
      <c r="D673" t="s">
        <v>792</v>
      </c>
      <c r="E673" t="s">
        <v>656</v>
      </c>
      <c r="F673" t="s">
        <v>657</v>
      </c>
      <c r="G673" s="4">
        <v>2191.69</v>
      </c>
    </row>
    <row r="674" spans="1:7" x14ac:dyDescent="0.35">
      <c r="A674" t="s">
        <v>598</v>
      </c>
      <c r="B674" t="s">
        <v>164</v>
      </c>
      <c r="C674" t="s">
        <v>791</v>
      </c>
      <c r="D674" t="s">
        <v>792</v>
      </c>
      <c r="E674" t="s">
        <v>656</v>
      </c>
      <c r="F674" t="s">
        <v>657</v>
      </c>
      <c r="G674" s="4">
        <v>676.44</v>
      </c>
    </row>
    <row r="675" spans="1:7" x14ac:dyDescent="0.35">
      <c r="A675" t="s">
        <v>599</v>
      </c>
      <c r="B675" t="s">
        <v>600</v>
      </c>
      <c r="C675" t="s">
        <v>791</v>
      </c>
      <c r="D675" t="s">
        <v>792</v>
      </c>
      <c r="E675" t="s">
        <v>656</v>
      </c>
      <c r="F675" t="s">
        <v>657</v>
      </c>
      <c r="G675" s="4">
        <v>760.65</v>
      </c>
    </row>
    <row r="676" spans="1:7" x14ac:dyDescent="0.35">
      <c r="A676" t="s">
        <v>601</v>
      </c>
      <c r="B676" t="s">
        <v>602</v>
      </c>
      <c r="C676" t="s">
        <v>791</v>
      </c>
      <c r="D676" t="s">
        <v>792</v>
      </c>
      <c r="E676" t="s">
        <v>656</v>
      </c>
      <c r="F676" t="s">
        <v>657</v>
      </c>
      <c r="G676" s="4">
        <v>1069.5899999999999</v>
      </c>
    </row>
    <row r="677" spans="1:7" x14ac:dyDescent="0.35">
      <c r="A677" t="s">
        <v>603</v>
      </c>
      <c r="B677" t="s">
        <v>604</v>
      </c>
      <c r="C677" t="s">
        <v>791</v>
      </c>
      <c r="D677" t="s">
        <v>792</v>
      </c>
      <c r="E677" t="s">
        <v>656</v>
      </c>
      <c r="F677" t="s">
        <v>657</v>
      </c>
      <c r="G677" s="4">
        <v>1029.04</v>
      </c>
    </row>
    <row r="678" spans="1:7" x14ac:dyDescent="0.35">
      <c r="A678" t="s">
        <v>605</v>
      </c>
      <c r="B678" t="s">
        <v>59</v>
      </c>
      <c r="C678" t="s">
        <v>791</v>
      </c>
      <c r="D678" t="s">
        <v>792</v>
      </c>
      <c r="E678" t="s">
        <v>656</v>
      </c>
      <c r="F678" t="s">
        <v>657</v>
      </c>
      <c r="G678" s="4">
        <v>1592.7</v>
      </c>
    </row>
    <row r="679" spans="1:7" x14ac:dyDescent="0.35">
      <c r="A679" t="s">
        <v>606</v>
      </c>
      <c r="B679" t="s">
        <v>607</v>
      </c>
      <c r="C679" t="s">
        <v>791</v>
      </c>
      <c r="D679" t="s">
        <v>792</v>
      </c>
      <c r="E679" t="s">
        <v>656</v>
      </c>
      <c r="F679" t="s">
        <v>657</v>
      </c>
      <c r="G679" s="4">
        <v>1463.63</v>
      </c>
    </row>
    <row r="680" spans="1:7" x14ac:dyDescent="0.35">
      <c r="A680" t="s">
        <v>608</v>
      </c>
      <c r="B680" t="s">
        <v>609</v>
      </c>
      <c r="C680" t="s">
        <v>791</v>
      </c>
      <c r="D680" t="s">
        <v>792</v>
      </c>
      <c r="E680" t="s">
        <v>656</v>
      </c>
      <c r="F680" t="s">
        <v>657</v>
      </c>
      <c r="G680" s="4">
        <v>1581.87</v>
      </c>
    </row>
    <row r="681" spans="1:7" x14ac:dyDescent="0.35">
      <c r="A681" t="s">
        <v>610</v>
      </c>
      <c r="B681" t="s">
        <v>611</v>
      </c>
      <c r="C681" t="s">
        <v>791</v>
      </c>
      <c r="D681" t="s">
        <v>792</v>
      </c>
      <c r="E681" t="s">
        <v>656</v>
      </c>
      <c r="F681" t="s">
        <v>657</v>
      </c>
      <c r="G681" s="4">
        <v>1573.13</v>
      </c>
    </row>
    <row r="682" spans="1:7" x14ac:dyDescent="0.35">
      <c r="A682" t="s">
        <v>612</v>
      </c>
      <c r="B682" t="s">
        <v>613</v>
      </c>
      <c r="C682" t="s">
        <v>791</v>
      </c>
      <c r="D682" t="s">
        <v>792</v>
      </c>
      <c r="E682" t="s">
        <v>656</v>
      </c>
      <c r="F682" t="s">
        <v>657</v>
      </c>
      <c r="G682" s="4">
        <v>1300.93</v>
      </c>
    </row>
    <row r="683" spans="1:7" x14ac:dyDescent="0.35">
      <c r="A683" t="s">
        <v>614</v>
      </c>
      <c r="B683" t="s">
        <v>609</v>
      </c>
      <c r="C683" t="s">
        <v>791</v>
      </c>
      <c r="D683" t="s">
        <v>792</v>
      </c>
      <c r="E683" t="s">
        <v>656</v>
      </c>
      <c r="F683" t="s">
        <v>657</v>
      </c>
      <c r="G683" s="4">
        <v>2198.09</v>
      </c>
    </row>
    <row r="684" spans="1:7" x14ac:dyDescent="0.35">
      <c r="A684" t="s">
        <v>615</v>
      </c>
      <c r="B684" t="s">
        <v>244</v>
      </c>
      <c r="C684" t="s">
        <v>791</v>
      </c>
      <c r="D684" t="s">
        <v>792</v>
      </c>
      <c r="E684" t="s">
        <v>656</v>
      </c>
      <c r="F684" t="s">
        <v>657</v>
      </c>
      <c r="G684" s="4">
        <v>1721.65</v>
      </c>
    </row>
    <row r="685" spans="1:7" x14ac:dyDescent="0.35">
      <c r="A685" t="s">
        <v>616</v>
      </c>
      <c r="B685" t="s">
        <v>498</v>
      </c>
      <c r="C685" t="s">
        <v>791</v>
      </c>
      <c r="D685" t="s">
        <v>792</v>
      </c>
      <c r="E685" t="s">
        <v>656</v>
      </c>
      <c r="F685" t="s">
        <v>657</v>
      </c>
      <c r="G685" s="4">
        <v>676.96</v>
      </c>
    </row>
    <row r="686" spans="1:7" x14ac:dyDescent="0.35">
      <c r="A686" t="s">
        <v>617</v>
      </c>
      <c r="B686" t="s">
        <v>618</v>
      </c>
      <c r="C686" t="s">
        <v>791</v>
      </c>
      <c r="D686" t="s">
        <v>792</v>
      </c>
      <c r="E686" t="s">
        <v>656</v>
      </c>
      <c r="F686" t="s">
        <v>657</v>
      </c>
      <c r="G686" s="4">
        <v>1884.3</v>
      </c>
    </row>
    <row r="687" spans="1:7" x14ac:dyDescent="0.35">
      <c r="A687" t="s">
        <v>619</v>
      </c>
      <c r="B687" t="s">
        <v>620</v>
      </c>
      <c r="C687" t="s">
        <v>791</v>
      </c>
      <c r="D687" t="s">
        <v>792</v>
      </c>
      <c r="E687" t="s">
        <v>656</v>
      </c>
      <c r="F687" t="s">
        <v>657</v>
      </c>
      <c r="G687" s="4">
        <v>886</v>
      </c>
    </row>
    <row r="688" spans="1:7" x14ac:dyDescent="0.35">
      <c r="A688" t="s">
        <v>621</v>
      </c>
      <c r="B688" t="s">
        <v>622</v>
      </c>
      <c r="C688" t="s">
        <v>791</v>
      </c>
      <c r="D688" t="s">
        <v>792</v>
      </c>
      <c r="E688" t="s">
        <v>656</v>
      </c>
      <c r="F688" t="s">
        <v>657</v>
      </c>
      <c r="G688" s="4">
        <v>1695.42</v>
      </c>
    </row>
    <row r="689" spans="1:7" x14ac:dyDescent="0.35">
      <c r="A689" t="s">
        <v>623</v>
      </c>
      <c r="B689" t="s">
        <v>624</v>
      </c>
      <c r="C689" t="s">
        <v>791</v>
      </c>
      <c r="D689" t="s">
        <v>792</v>
      </c>
      <c r="E689" t="s">
        <v>656</v>
      </c>
      <c r="F689" t="s">
        <v>657</v>
      </c>
      <c r="G689" s="4">
        <v>1547.32</v>
      </c>
    </row>
    <row r="690" spans="1:7" x14ac:dyDescent="0.35">
      <c r="A690" t="s">
        <v>625</v>
      </c>
      <c r="B690" t="s">
        <v>200</v>
      </c>
      <c r="C690" t="s">
        <v>791</v>
      </c>
      <c r="D690" t="s">
        <v>792</v>
      </c>
      <c r="E690" t="s">
        <v>656</v>
      </c>
      <c r="F690" t="s">
        <v>657</v>
      </c>
      <c r="G690" s="4">
        <v>1773.15</v>
      </c>
    </row>
    <row r="691" spans="1:7" x14ac:dyDescent="0.35">
      <c r="A691" t="s">
        <v>626</v>
      </c>
      <c r="B691" t="s">
        <v>627</v>
      </c>
      <c r="C691" t="s">
        <v>791</v>
      </c>
      <c r="D691" t="s">
        <v>792</v>
      </c>
      <c r="E691" t="s">
        <v>656</v>
      </c>
      <c r="F691" t="s">
        <v>657</v>
      </c>
      <c r="G691" s="4">
        <v>2225.71</v>
      </c>
    </row>
    <row r="692" spans="1:7" x14ac:dyDescent="0.35">
      <c r="A692" t="s">
        <v>628</v>
      </c>
      <c r="B692" t="s">
        <v>207</v>
      </c>
      <c r="C692" t="s">
        <v>791</v>
      </c>
      <c r="D692" t="s">
        <v>792</v>
      </c>
      <c r="E692" t="s">
        <v>656</v>
      </c>
      <c r="F692" t="s">
        <v>657</v>
      </c>
      <c r="G692" s="4">
        <v>2215.86</v>
      </c>
    </row>
    <row r="693" spans="1:7" x14ac:dyDescent="0.35">
      <c r="A693" t="s">
        <v>629</v>
      </c>
      <c r="B693" t="s">
        <v>114</v>
      </c>
      <c r="C693" t="s">
        <v>791</v>
      </c>
      <c r="D693" t="s">
        <v>792</v>
      </c>
      <c r="E693" t="s">
        <v>656</v>
      </c>
      <c r="F693" t="s">
        <v>657</v>
      </c>
      <c r="G693" s="4">
        <v>935.38</v>
      </c>
    </row>
    <row r="694" spans="1:7" x14ac:dyDescent="0.35">
      <c r="A694" t="s">
        <v>630</v>
      </c>
      <c r="B694" t="s">
        <v>420</v>
      </c>
      <c r="C694" t="s">
        <v>791</v>
      </c>
      <c r="D694" t="s">
        <v>792</v>
      </c>
      <c r="E694" t="s">
        <v>656</v>
      </c>
      <c r="F694" t="s">
        <v>657</v>
      </c>
      <c r="G694" s="4">
        <v>1183.1400000000001</v>
      </c>
    </row>
    <row r="695" spans="1:7" x14ac:dyDescent="0.35">
      <c r="A695" t="s">
        <v>631</v>
      </c>
      <c r="B695" t="s">
        <v>127</v>
      </c>
      <c r="C695" t="s">
        <v>791</v>
      </c>
      <c r="D695" t="s">
        <v>792</v>
      </c>
      <c r="E695" t="s">
        <v>656</v>
      </c>
      <c r="F695" t="s">
        <v>657</v>
      </c>
      <c r="G695" s="4">
        <v>1625.27</v>
      </c>
    </row>
    <row r="696" spans="1:7" x14ac:dyDescent="0.35">
      <c r="A696" t="s">
        <v>632</v>
      </c>
      <c r="B696" t="s">
        <v>633</v>
      </c>
      <c r="C696" t="s">
        <v>791</v>
      </c>
      <c r="D696" t="s">
        <v>792</v>
      </c>
      <c r="E696" t="s">
        <v>656</v>
      </c>
      <c r="F696" t="s">
        <v>657</v>
      </c>
      <c r="G696" s="4">
        <v>2498.5700000000002</v>
      </c>
    </row>
    <row r="697" spans="1:7" x14ac:dyDescent="0.35">
      <c r="A697" t="s">
        <v>634</v>
      </c>
      <c r="B697" t="s">
        <v>550</v>
      </c>
      <c r="C697" t="s">
        <v>791</v>
      </c>
      <c r="D697" t="s">
        <v>792</v>
      </c>
      <c r="E697" t="s">
        <v>656</v>
      </c>
      <c r="F697" t="s">
        <v>657</v>
      </c>
      <c r="G697" s="4">
        <v>1318.33</v>
      </c>
    </row>
    <row r="698" spans="1:7" x14ac:dyDescent="0.35">
      <c r="A698" t="s">
        <v>635</v>
      </c>
      <c r="B698" t="s">
        <v>438</v>
      </c>
      <c r="C698" t="s">
        <v>791</v>
      </c>
      <c r="D698" t="s">
        <v>792</v>
      </c>
      <c r="E698" t="s">
        <v>656</v>
      </c>
      <c r="F698" t="s">
        <v>657</v>
      </c>
      <c r="G698" s="4">
        <v>1671.01</v>
      </c>
    </row>
    <row r="699" spans="1:7" x14ac:dyDescent="0.35">
      <c r="A699" t="s">
        <v>636</v>
      </c>
      <c r="B699" t="s">
        <v>579</v>
      </c>
      <c r="C699" t="s">
        <v>791</v>
      </c>
      <c r="D699" t="s">
        <v>792</v>
      </c>
      <c r="E699" t="s">
        <v>656</v>
      </c>
      <c r="F699" t="s">
        <v>657</v>
      </c>
      <c r="G699" s="4">
        <v>1931.59</v>
      </c>
    </row>
    <row r="700" spans="1:7" x14ac:dyDescent="0.35">
      <c r="A700" t="s">
        <v>637</v>
      </c>
      <c r="B700" t="s">
        <v>638</v>
      </c>
      <c r="C700" t="s">
        <v>791</v>
      </c>
      <c r="D700" t="s">
        <v>792</v>
      </c>
      <c r="E700" t="s">
        <v>656</v>
      </c>
      <c r="F700" t="s">
        <v>657</v>
      </c>
      <c r="G700" s="4">
        <v>1126.56</v>
      </c>
    </row>
    <row r="701" spans="1:7" x14ac:dyDescent="0.35">
      <c r="A701" t="s">
        <v>639</v>
      </c>
      <c r="B701" t="s">
        <v>596</v>
      </c>
      <c r="C701" t="s">
        <v>791</v>
      </c>
      <c r="D701" t="s">
        <v>792</v>
      </c>
      <c r="E701" t="s">
        <v>656</v>
      </c>
      <c r="F701" t="s">
        <v>657</v>
      </c>
      <c r="G701" s="4">
        <v>828.08</v>
      </c>
    </row>
    <row r="702" spans="1:7" x14ac:dyDescent="0.35">
      <c r="A702" t="s">
        <v>640</v>
      </c>
      <c r="B702" t="s">
        <v>382</v>
      </c>
      <c r="C702" t="s">
        <v>791</v>
      </c>
      <c r="D702" t="s">
        <v>792</v>
      </c>
      <c r="E702" t="s">
        <v>656</v>
      </c>
      <c r="F702" t="s">
        <v>657</v>
      </c>
      <c r="G702" s="4">
        <v>2031.58</v>
      </c>
    </row>
    <row r="703" spans="1:7" x14ac:dyDescent="0.35">
      <c r="A703" t="s">
        <v>641</v>
      </c>
      <c r="B703" t="s">
        <v>408</v>
      </c>
      <c r="C703" t="s">
        <v>791</v>
      </c>
      <c r="D703" t="s">
        <v>792</v>
      </c>
      <c r="E703" t="s">
        <v>656</v>
      </c>
      <c r="F703" t="s">
        <v>657</v>
      </c>
      <c r="G703" s="4">
        <v>1723.17</v>
      </c>
    </row>
    <row r="704" spans="1:7" x14ac:dyDescent="0.35">
      <c r="A704" t="s">
        <v>642</v>
      </c>
      <c r="B704" t="s">
        <v>474</v>
      </c>
      <c r="C704" t="s">
        <v>791</v>
      </c>
      <c r="D704" t="s">
        <v>792</v>
      </c>
      <c r="E704" t="s">
        <v>656</v>
      </c>
      <c r="F704" t="s">
        <v>657</v>
      </c>
      <c r="G704" s="4">
        <v>1203.07</v>
      </c>
    </row>
    <row r="705" spans="1:7" x14ac:dyDescent="0.35">
      <c r="A705" t="s">
        <v>643</v>
      </c>
      <c r="B705" t="s">
        <v>476</v>
      </c>
      <c r="C705" t="s">
        <v>791</v>
      </c>
      <c r="D705" t="s">
        <v>792</v>
      </c>
      <c r="E705" t="s">
        <v>656</v>
      </c>
      <c r="F705" t="s">
        <v>657</v>
      </c>
      <c r="G705" s="4">
        <v>1704.65</v>
      </c>
    </row>
    <row r="706" spans="1:7" x14ac:dyDescent="0.35">
      <c r="A706" t="s">
        <v>644</v>
      </c>
      <c r="B706" t="s">
        <v>202</v>
      </c>
      <c r="C706" t="s">
        <v>791</v>
      </c>
      <c r="D706" t="s">
        <v>792</v>
      </c>
      <c r="E706" t="s">
        <v>656</v>
      </c>
      <c r="F706" t="s">
        <v>657</v>
      </c>
      <c r="G706" s="4">
        <v>2067.27</v>
      </c>
    </row>
    <row r="707" spans="1:7" x14ac:dyDescent="0.35">
      <c r="A707" t="s">
        <v>645</v>
      </c>
      <c r="B707" t="s">
        <v>249</v>
      </c>
      <c r="C707" t="s">
        <v>791</v>
      </c>
      <c r="D707" t="s">
        <v>792</v>
      </c>
      <c r="E707" t="s">
        <v>656</v>
      </c>
      <c r="F707" t="s">
        <v>657</v>
      </c>
      <c r="G707" s="4">
        <v>1138.8800000000001</v>
      </c>
    </row>
    <row r="708" spans="1:7" x14ac:dyDescent="0.35">
      <c r="A708" t="s">
        <v>646</v>
      </c>
      <c r="B708" t="s">
        <v>87</v>
      </c>
      <c r="C708" t="s">
        <v>791</v>
      </c>
      <c r="D708" t="s">
        <v>792</v>
      </c>
      <c r="E708" t="s">
        <v>656</v>
      </c>
      <c r="F708" t="s">
        <v>657</v>
      </c>
      <c r="G708" s="4">
        <v>2451.15</v>
      </c>
    </row>
    <row r="709" spans="1:7" x14ac:dyDescent="0.35">
      <c r="A709" t="s">
        <v>647</v>
      </c>
      <c r="B709" t="s">
        <v>622</v>
      </c>
      <c r="C709" t="s">
        <v>791</v>
      </c>
      <c r="D709" t="s">
        <v>792</v>
      </c>
      <c r="E709" t="s">
        <v>656</v>
      </c>
      <c r="F709" t="s">
        <v>657</v>
      </c>
      <c r="G709" s="4">
        <v>631.30999999999995</v>
      </c>
    </row>
    <row r="710" spans="1:7" x14ac:dyDescent="0.35">
      <c r="A710" t="s">
        <v>648</v>
      </c>
      <c r="B710" t="s">
        <v>649</v>
      </c>
      <c r="C710" t="s">
        <v>791</v>
      </c>
      <c r="D710" t="s">
        <v>792</v>
      </c>
      <c r="E710" t="s">
        <v>656</v>
      </c>
      <c r="F710" t="s">
        <v>657</v>
      </c>
      <c r="G710" s="4">
        <v>1792.13</v>
      </c>
    </row>
    <row r="711" spans="1:7" x14ac:dyDescent="0.35">
      <c r="A711" t="s">
        <v>650</v>
      </c>
      <c r="B711" t="s">
        <v>266</v>
      </c>
      <c r="C711" t="s">
        <v>791</v>
      </c>
      <c r="D711" t="s">
        <v>792</v>
      </c>
      <c r="E711" t="s">
        <v>656</v>
      </c>
      <c r="F711" t="s">
        <v>657</v>
      </c>
      <c r="G711" s="4">
        <v>1824.02</v>
      </c>
    </row>
    <row r="712" spans="1:7" x14ac:dyDescent="0.35">
      <c r="A712" t="s">
        <v>651</v>
      </c>
      <c r="B712" t="s">
        <v>47</v>
      </c>
      <c r="C712" t="s">
        <v>791</v>
      </c>
      <c r="D712" t="s">
        <v>792</v>
      </c>
      <c r="E712" t="s">
        <v>656</v>
      </c>
      <c r="F712" t="s">
        <v>657</v>
      </c>
      <c r="G712" s="4">
        <v>1408.98</v>
      </c>
    </row>
    <row r="713" spans="1:7" x14ac:dyDescent="0.35">
      <c r="A713" t="s">
        <v>652</v>
      </c>
      <c r="B713" t="s">
        <v>609</v>
      </c>
      <c r="C713" t="s">
        <v>791</v>
      </c>
      <c r="D713" t="s">
        <v>792</v>
      </c>
      <c r="E713" t="s">
        <v>656</v>
      </c>
      <c r="F713" t="s">
        <v>657</v>
      </c>
      <c r="G713" s="4">
        <v>1002.1</v>
      </c>
    </row>
    <row r="714" spans="1:7" x14ac:dyDescent="0.35">
      <c r="A714" t="s">
        <v>13</v>
      </c>
      <c r="B714" t="s">
        <v>14</v>
      </c>
      <c r="C714" t="s">
        <v>793</v>
      </c>
      <c r="D714" t="s">
        <v>794</v>
      </c>
      <c r="E714" t="s">
        <v>795</v>
      </c>
      <c r="F714" t="s">
        <v>657</v>
      </c>
      <c r="G714" s="4">
        <v>-4978.93</v>
      </c>
    </row>
    <row r="715" spans="1:7" x14ac:dyDescent="0.35">
      <c r="A715" t="s">
        <v>17</v>
      </c>
      <c r="B715" t="s">
        <v>18</v>
      </c>
      <c r="C715" t="s">
        <v>793</v>
      </c>
      <c r="D715" t="s">
        <v>794</v>
      </c>
      <c r="E715" t="s">
        <v>795</v>
      </c>
      <c r="F715" t="s">
        <v>657</v>
      </c>
      <c r="G715" s="4">
        <v>-3156.71</v>
      </c>
    </row>
    <row r="716" spans="1:7" x14ac:dyDescent="0.35">
      <c r="A716" t="s">
        <v>21</v>
      </c>
      <c r="B716" t="s">
        <v>22</v>
      </c>
      <c r="C716" t="s">
        <v>793</v>
      </c>
      <c r="D716" t="s">
        <v>794</v>
      </c>
      <c r="E716" t="s">
        <v>795</v>
      </c>
      <c r="F716" t="s">
        <v>657</v>
      </c>
      <c r="G716" s="4">
        <v>-1471.43</v>
      </c>
    </row>
    <row r="717" spans="1:7" x14ac:dyDescent="0.35">
      <c r="A717" t="s">
        <v>25</v>
      </c>
      <c r="B717" t="s">
        <v>26</v>
      </c>
      <c r="C717" t="s">
        <v>793</v>
      </c>
      <c r="D717" t="s">
        <v>794</v>
      </c>
      <c r="E717" t="s">
        <v>795</v>
      </c>
      <c r="F717" t="s">
        <v>657</v>
      </c>
      <c r="G717" s="4">
        <v>-3617.97</v>
      </c>
    </row>
    <row r="718" spans="1:7" x14ac:dyDescent="0.35">
      <c r="A718" t="s">
        <v>31</v>
      </c>
      <c r="B718" t="s">
        <v>32</v>
      </c>
      <c r="C718" t="s">
        <v>793</v>
      </c>
      <c r="D718" t="s">
        <v>794</v>
      </c>
      <c r="E718" t="s">
        <v>795</v>
      </c>
      <c r="F718" t="s">
        <v>657</v>
      </c>
      <c r="G718" s="4">
        <v>-1713.5</v>
      </c>
    </row>
    <row r="719" spans="1:7" x14ac:dyDescent="0.35">
      <c r="A719" t="s">
        <v>35</v>
      </c>
      <c r="B719" t="s">
        <v>36</v>
      </c>
      <c r="C719" t="s">
        <v>793</v>
      </c>
      <c r="D719" t="s">
        <v>794</v>
      </c>
      <c r="E719" t="s">
        <v>795</v>
      </c>
      <c r="F719" t="s">
        <v>657</v>
      </c>
      <c r="G719" s="4">
        <v>-4295.1000000000004</v>
      </c>
    </row>
    <row r="720" spans="1:7" x14ac:dyDescent="0.35">
      <c r="A720" t="s">
        <v>39</v>
      </c>
      <c r="B720" t="s">
        <v>40</v>
      </c>
      <c r="C720" t="s">
        <v>793</v>
      </c>
      <c r="D720" t="s">
        <v>794</v>
      </c>
      <c r="E720" t="s">
        <v>795</v>
      </c>
      <c r="F720" t="s">
        <v>657</v>
      </c>
      <c r="G720" s="4">
        <v>-2665.73</v>
      </c>
    </row>
    <row r="721" spans="1:7" x14ac:dyDescent="0.35">
      <c r="A721" t="s">
        <v>41</v>
      </c>
      <c r="B721" t="s">
        <v>42</v>
      </c>
      <c r="C721" t="s">
        <v>793</v>
      </c>
      <c r="D721" t="s">
        <v>794</v>
      </c>
      <c r="E721" t="s">
        <v>795</v>
      </c>
      <c r="F721" t="s">
        <v>657</v>
      </c>
      <c r="G721" s="4">
        <v>-4666.18</v>
      </c>
    </row>
    <row r="722" spans="1:7" x14ac:dyDescent="0.35">
      <c r="A722" t="s">
        <v>48</v>
      </c>
      <c r="B722" t="s">
        <v>49</v>
      </c>
      <c r="C722" t="s">
        <v>793</v>
      </c>
      <c r="D722" t="s">
        <v>794</v>
      </c>
      <c r="E722" t="s">
        <v>795</v>
      </c>
      <c r="F722" t="s">
        <v>657</v>
      </c>
      <c r="G722" s="4">
        <v>-1439.81</v>
      </c>
    </row>
    <row r="723" spans="1:7" x14ac:dyDescent="0.35">
      <c r="A723" t="s">
        <v>50</v>
      </c>
      <c r="B723" t="s">
        <v>51</v>
      </c>
      <c r="C723" t="s">
        <v>793</v>
      </c>
      <c r="D723" t="s">
        <v>794</v>
      </c>
      <c r="E723" t="s">
        <v>795</v>
      </c>
      <c r="F723" t="s">
        <v>657</v>
      </c>
      <c r="G723" s="4">
        <v>-2214.75</v>
      </c>
    </row>
    <row r="724" spans="1:7" x14ac:dyDescent="0.35">
      <c r="A724" t="s">
        <v>54</v>
      </c>
      <c r="B724" t="s">
        <v>55</v>
      </c>
      <c r="C724" t="s">
        <v>793</v>
      </c>
      <c r="D724" t="s">
        <v>794</v>
      </c>
      <c r="E724" t="s">
        <v>795</v>
      </c>
      <c r="F724" t="s">
        <v>657</v>
      </c>
      <c r="G724" s="4">
        <v>-2852.69</v>
      </c>
    </row>
    <row r="725" spans="1:7" x14ac:dyDescent="0.35">
      <c r="A725" t="s">
        <v>58</v>
      </c>
      <c r="B725" t="s">
        <v>59</v>
      </c>
      <c r="C725" t="s">
        <v>793</v>
      </c>
      <c r="D725" t="s">
        <v>794</v>
      </c>
      <c r="E725" t="s">
        <v>795</v>
      </c>
      <c r="F725" t="s">
        <v>657</v>
      </c>
      <c r="G725" s="4">
        <v>-4487.46</v>
      </c>
    </row>
    <row r="726" spans="1:7" x14ac:dyDescent="0.35">
      <c r="A726" t="s">
        <v>62</v>
      </c>
      <c r="B726" t="s">
        <v>63</v>
      </c>
      <c r="C726" t="s">
        <v>793</v>
      </c>
      <c r="D726" t="s">
        <v>794</v>
      </c>
      <c r="E726" t="s">
        <v>795</v>
      </c>
      <c r="F726" t="s">
        <v>657</v>
      </c>
      <c r="G726" s="4">
        <v>-2183.66</v>
      </c>
    </row>
    <row r="727" spans="1:7" x14ac:dyDescent="0.35">
      <c r="A727" t="s">
        <v>74</v>
      </c>
      <c r="B727" t="s">
        <v>75</v>
      </c>
      <c r="C727" t="s">
        <v>793</v>
      </c>
      <c r="D727" t="s">
        <v>794</v>
      </c>
      <c r="E727" t="s">
        <v>795</v>
      </c>
      <c r="F727" t="s">
        <v>657</v>
      </c>
      <c r="G727" s="4">
        <v>-4723.25</v>
      </c>
    </row>
    <row r="728" spans="1:7" x14ac:dyDescent="0.35">
      <c r="A728" t="s">
        <v>80</v>
      </c>
      <c r="B728" t="s">
        <v>81</v>
      </c>
      <c r="C728" t="s">
        <v>793</v>
      </c>
      <c r="D728" t="s">
        <v>794</v>
      </c>
      <c r="E728" t="s">
        <v>795</v>
      </c>
      <c r="F728" t="s">
        <v>657</v>
      </c>
      <c r="G728" s="4">
        <v>-4251.3599999999997</v>
      </c>
    </row>
    <row r="729" spans="1:7" x14ac:dyDescent="0.35">
      <c r="A729" t="s">
        <v>82</v>
      </c>
      <c r="B729" t="s">
        <v>83</v>
      </c>
      <c r="C729" t="s">
        <v>793</v>
      </c>
      <c r="D729" t="s">
        <v>794</v>
      </c>
      <c r="E729" t="s">
        <v>795</v>
      </c>
      <c r="F729" t="s">
        <v>657</v>
      </c>
      <c r="G729" s="4">
        <v>-4023.18</v>
      </c>
    </row>
    <row r="730" spans="1:7" x14ac:dyDescent="0.35">
      <c r="A730" t="s">
        <v>84</v>
      </c>
      <c r="B730" t="s">
        <v>85</v>
      </c>
      <c r="C730" t="s">
        <v>793</v>
      </c>
      <c r="D730" t="s">
        <v>794</v>
      </c>
      <c r="E730" t="s">
        <v>795</v>
      </c>
      <c r="F730" t="s">
        <v>657</v>
      </c>
      <c r="G730" s="4">
        <v>-1417.13</v>
      </c>
    </row>
    <row r="731" spans="1:7" x14ac:dyDescent="0.35">
      <c r="A731" t="s">
        <v>86</v>
      </c>
      <c r="B731" t="s">
        <v>87</v>
      </c>
      <c r="C731" t="s">
        <v>793</v>
      </c>
      <c r="D731" t="s">
        <v>794</v>
      </c>
      <c r="E731" t="s">
        <v>795</v>
      </c>
      <c r="F731" t="s">
        <v>657</v>
      </c>
      <c r="G731" s="4">
        <v>-4710.8900000000003</v>
      </c>
    </row>
    <row r="732" spans="1:7" x14ac:dyDescent="0.35">
      <c r="A732" t="s">
        <v>88</v>
      </c>
      <c r="B732" t="s">
        <v>89</v>
      </c>
      <c r="C732" t="s">
        <v>793</v>
      </c>
      <c r="D732" t="s">
        <v>794</v>
      </c>
      <c r="E732" t="s">
        <v>795</v>
      </c>
      <c r="F732" t="s">
        <v>657</v>
      </c>
      <c r="G732" s="4">
        <v>-1039.8</v>
      </c>
    </row>
    <row r="733" spans="1:7" x14ac:dyDescent="0.35">
      <c r="A733" t="s">
        <v>90</v>
      </c>
      <c r="B733" t="s">
        <v>91</v>
      </c>
      <c r="C733" t="s">
        <v>793</v>
      </c>
      <c r="D733" t="s">
        <v>794</v>
      </c>
      <c r="E733" t="s">
        <v>795</v>
      </c>
      <c r="F733" t="s">
        <v>657</v>
      </c>
      <c r="G733" s="4">
        <v>-4970.38</v>
      </c>
    </row>
    <row r="734" spans="1:7" x14ac:dyDescent="0.35">
      <c r="A734" t="s">
        <v>92</v>
      </c>
      <c r="B734" t="s">
        <v>93</v>
      </c>
      <c r="C734" t="s">
        <v>793</v>
      </c>
      <c r="D734" t="s">
        <v>794</v>
      </c>
      <c r="E734" t="s">
        <v>795</v>
      </c>
      <c r="F734" t="s">
        <v>657</v>
      </c>
      <c r="G734" s="4">
        <v>-3241</v>
      </c>
    </row>
    <row r="735" spans="1:7" x14ac:dyDescent="0.35">
      <c r="A735" t="s">
        <v>94</v>
      </c>
      <c r="B735" t="s">
        <v>95</v>
      </c>
      <c r="C735" t="s">
        <v>793</v>
      </c>
      <c r="D735" t="s">
        <v>794</v>
      </c>
      <c r="E735" t="s">
        <v>795</v>
      </c>
      <c r="F735" t="s">
        <v>657</v>
      </c>
      <c r="G735" s="4">
        <v>-4236.47</v>
      </c>
    </row>
    <row r="736" spans="1:7" x14ac:dyDescent="0.35">
      <c r="A736" t="s">
        <v>96</v>
      </c>
      <c r="B736" t="s">
        <v>97</v>
      </c>
      <c r="C736" t="s">
        <v>793</v>
      </c>
      <c r="D736" t="s">
        <v>794</v>
      </c>
      <c r="E736" t="s">
        <v>795</v>
      </c>
      <c r="F736" t="s">
        <v>657</v>
      </c>
      <c r="G736" s="4">
        <v>-2886.05</v>
      </c>
    </row>
    <row r="737" spans="1:7" x14ac:dyDescent="0.35">
      <c r="A737" t="s">
        <v>98</v>
      </c>
      <c r="B737" t="s">
        <v>83</v>
      </c>
      <c r="C737" t="s">
        <v>793</v>
      </c>
      <c r="D737" t="s">
        <v>794</v>
      </c>
      <c r="E737" t="s">
        <v>795</v>
      </c>
      <c r="F737" t="s">
        <v>657</v>
      </c>
      <c r="G737" s="4">
        <v>-3588.62</v>
      </c>
    </row>
    <row r="738" spans="1:7" x14ac:dyDescent="0.35">
      <c r="A738" t="s">
        <v>99</v>
      </c>
      <c r="B738" t="s">
        <v>100</v>
      </c>
      <c r="C738" t="s">
        <v>793</v>
      </c>
      <c r="D738" t="s">
        <v>794</v>
      </c>
      <c r="E738" t="s">
        <v>795</v>
      </c>
      <c r="F738" t="s">
        <v>657</v>
      </c>
      <c r="G738" s="4">
        <v>-2096.0300000000002</v>
      </c>
    </row>
    <row r="739" spans="1:7" x14ac:dyDescent="0.35">
      <c r="A739" t="s">
        <v>102</v>
      </c>
      <c r="B739" t="s">
        <v>103</v>
      </c>
      <c r="C739" t="s">
        <v>793</v>
      </c>
      <c r="D739" t="s">
        <v>794</v>
      </c>
      <c r="E739" t="s">
        <v>795</v>
      </c>
      <c r="F739" t="s">
        <v>657</v>
      </c>
      <c r="G739" s="4">
        <v>-4659.41</v>
      </c>
    </row>
    <row r="740" spans="1:7" x14ac:dyDescent="0.35">
      <c r="A740" t="s">
        <v>106</v>
      </c>
      <c r="B740" t="s">
        <v>81</v>
      </c>
      <c r="C740" t="s">
        <v>793</v>
      </c>
      <c r="D740" t="s">
        <v>794</v>
      </c>
      <c r="E740" t="s">
        <v>795</v>
      </c>
      <c r="F740" t="s">
        <v>657</v>
      </c>
      <c r="G740" s="4">
        <v>-2027.18</v>
      </c>
    </row>
    <row r="741" spans="1:7" x14ac:dyDescent="0.35">
      <c r="A741" t="s">
        <v>109</v>
      </c>
      <c r="B741" t="s">
        <v>110</v>
      </c>
      <c r="C741" t="s">
        <v>793</v>
      </c>
      <c r="D741" t="s">
        <v>794</v>
      </c>
      <c r="E741" t="s">
        <v>795</v>
      </c>
      <c r="F741" t="s">
        <v>657</v>
      </c>
      <c r="G741" s="4">
        <v>-1917.34</v>
      </c>
    </row>
    <row r="742" spans="1:7" x14ac:dyDescent="0.35">
      <c r="A742" t="s">
        <v>111</v>
      </c>
      <c r="B742" t="s">
        <v>112</v>
      </c>
      <c r="C742" t="s">
        <v>793</v>
      </c>
      <c r="D742" t="s">
        <v>794</v>
      </c>
      <c r="E742" t="s">
        <v>795</v>
      </c>
      <c r="F742" t="s">
        <v>657</v>
      </c>
      <c r="G742" s="4">
        <v>-1569.21</v>
      </c>
    </row>
    <row r="743" spans="1:7" x14ac:dyDescent="0.35">
      <c r="A743" t="s">
        <v>115</v>
      </c>
      <c r="B743" t="s">
        <v>116</v>
      </c>
      <c r="C743" t="s">
        <v>793</v>
      </c>
      <c r="D743" t="s">
        <v>794</v>
      </c>
      <c r="E743" t="s">
        <v>795</v>
      </c>
      <c r="F743" t="s">
        <v>657</v>
      </c>
      <c r="G743" s="4">
        <v>-4108.72</v>
      </c>
    </row>
    <row r="744" spans="1:7" x14ac:dyDescent="0.35">
      <c r="A744" t="s">
        <v>117</v>
      </c>
      <c r="B744" t="s">
        <v>118</v>
      </c>
      <c r="C744" t="s">
        <v>793</v>
      </c>
      <c r="D744" t="s">
        <v>794</v>
      </c>
      <c r="E744" t="s">
        <v>795</v>
      </c>
      <c r="F744" t="s">
        <v>657</v>
      </c>
      <c r="G744" s="4">
        <v>-2639.69</v>
      </c>
    </row>
    <row r="745" spans="1:7" x14ac:dyDescent="0.35">
      <c r="A745" t="s">
        <v>123</v>
      </c>
      <c r="B745" t="s">
        <v>14</v>
      </c>
      <c r="C745" t="s">
        <v>793</v>
      </c>
      <c r="D745" t="s">
        <v>794</v>
      </c>
      <c r="E745" t="s">
        <v>795</v>
      </c>
      <c r="F745" t="s">
        <v>657</v>
      </c>
      <c r="G745" s="4">
        <v>-2690.75</v>
      </c>
    </row>
    <row r="746" spans="1:7" x14ac:dyDescent="0.35">
      <c r="A746" t="s">
        <v>126</v>
      </c>
      <c r="B746" t="s">
        <v>127</v>
      </c>
      <c r="C746" t="s">
        <v>793</v>
      </c>
      <c r="D746" t="s">
        <v>794</v>
      </c>
      <c r="E746" t="s">
        <v>795</v>
      </c>
      <c r="F746" t="s">
        <v>657</v>
      </c>
      <c r="G746" s="4">
        <v>-1113.2</v>
      </c>
    </row>
    <row r="747" spans="1:7" x14ac:dyDescent="0.35">
      <c r="A747" t="s">
        <v>128</v>
      </c>
      <c r="B747" t="s">
        <v>129</v>
      </c>
      <c r="C747" t="s">
        <v>793</v>
      </c>
      <c r="D747" t="s">
        <v>794</v>
      </c>
      <c r="E747" t="s">
        <v>795</v>
      </c>
      <c r="F747" t="s">
        <v>657</v>
      </c>
      <c r="G747" s="4">
        <v>-4350.0200000000004</v>
      </c>
    </row>
    <row r="748" spans="1:7" x14ac:dyDescent="0.35">
      <c r="A748" t="s">
        <v>136</v>
      </c>
      <c r="B748" t="s">
        <v>137</v>
      </c>
      <c r="C748" t="s">
        <v>793</v>
      </c>
      <c r="D748" t="s">
        <v>794</v>
      </c>
      <c r="E748" t="s">
        <v>795</v>
      </c>
      <c r="F748" t="s">
        <v>657</v>
      </c>
      <c r="G748" s="4">
        <v>-4947.87</v>
      </c>
    </row>
    <row r="749" spans="1:7" x14ac:dyDescent="0.35">
      <c r="A749" t="s">
        <v>139</v>
      </c>
      <c r="B749" t="s">
        <v>140</v>
      </c>
      <c r="C749" t="s">
        <v>793</v>
      </c>
      <c r="D749" t="s">
        <v>794</v>
      </c>
      <c r="E749" t="s">
        <v>795</v>
      </c>
      <c r="F749" t="s">
        <v>657</v>
      </c>
      <c r="G749" s="4">
        <v>-2865.72</v>
      </c>
    </row>
    <row r="750" spans="1:7" x14ac:dyDescent="0.35">
      <c r="A750" t="s">
        <v>142</v>
      </c>
      <c r="B750" t="s">
        <v>143</v>
      </c>
      <c r="C750" t="s">
        <v>793</v>
      </c>
      <c r="D750" t="s">
        <v>794</v>
      </c>
      <c r="E750" t="s">
        <v>795</v>
      </c>
      <c r="F750" t="s">
        <v>657</v>
      </c>
      <c r="G750" s="4">
        <v>-2279.5300000000002</v>
      </c>
    </row>
    <row r="751" spans="1:7" x14ac:dyDescent="0.35">
      <c r="A751" t="s">
        <v>150</v>
      </c>
      <c r="B751" t="s">
        <v>151</v>
      </c>
      <c r="C751" t="s">
        <v>793</v>
      </c>
      <c r="D751" t="s">
        <v>794</v>
      </c>
      <c r="E751" t="s">
        <v>795</v>
      </c>
      <c r="F751" t="s">
        <v>657</v>
      </c>
      <c r="G751" s="4">
        <v>-1073.8800000000001</v>
      </c>
    </row>
    <row r="752" spans="1:7" x14ac:dyDescent="0.35">
      <c r="A752" t="s">
        <v>157</v>
      </c>
      <c r="B752" t="s">
        <v>158</v>
      </c>
      <c r="C752" t="s">
        <v>793</v>
      </c>
      <c r="D752" t="s">
        <v>794</v>
      </c>
      <c r="E752" t="s">
        <v>795</v>
      </c>
      <c r="F752" t="s">
        <v>657</v>
      </c>
      <c r="G752" s="4">
        <v>-3460.7</v>
      </c>
    </row>
    <row r="753" spans="1:7" x14ac:dyDescent="0.35">
      <c r="A753" t="s">
        <v>163</v>
      </c>
      <c r="B753" t="s">
        <v>164</v>
      </c>
      <c r="C753" t="s">
        <v>793</v>
      </c>
      <c r="D753" t="s">
        <v>794</v>
      </c>
      <c r="E753" t="s">
        <v>795</v>
      </c>
      <c r="F753" t="s">
        <v>657</v>
      </c>
      <c r="G753" s="4">
        <v>-1326.42</v>
      </c>
    </row>
    <row r="754" spans="1:7" x14ac:dyDescent="0.35">
      <c r="A754" t="s">
        <v>165</v>
      </c>
      <c r="B754" t="s">
        <v>166</v>
      </c>
      <c r="C754" t="s">
        <v>793</v>
      </c>
      <c r="D754" t="s">
        <v>794</v>
      </c>
      <c r="E754" t="s">
        <v>795</v>
      </c>
      <c r="F754" t="s">
        <v>657</v>
      </c>
      <c r="G754" s="4">
        <v>-4345.25</v>
      </c>
    </row>
    <row r="755" spans="1:7" x14ac:dyDescent="0.35">
      <c r="A755" t="s">
        <v>170</v>
      </c>
      <c r="B755" t="s">
        <v>171</v>
      </c>
      <c r="C755" t="s">
        <v>793</v>
      </c>
      <c r="D755" t="s">
        <v>794</v>
      </c>
      <c r="E755" t="s">
        <v>795</v>
      </c>
      <c r="F755" t="s">
        <v>657</v>
      </c>
      <c r="G755" s="4">
        <v>-3896.88</v>
      </c>
    </row>
    <row r="756" spans="1:7" x14ac:dyDescent="0.35">
      <c r="A756" t="s">
        <v>174</v>
      </c>
      <c r="B756" t="s">
        <v>79</v>
      </c>
      <c r="C756" t="s">
        <v>793</v>
      </c>
      <c r="D756" t="s">
        <v>794</v>
      </c>
      <c r="E756" t="s">
        <v>795</v>
      </c>
      <c r="F756" t="s">
        <v>657</v>
      </c>
      <c r="G756" s="4">
        <v>-4087.53</v>
      </c>
    </row>
    <row r="757" spans="1:7" x14ac:dyDescent="0.35">
      <c r="A757" t="s">
        <v>177</v>
      </c>
      <c r="B757" t="s">
        <v>178</v>
      </c>
      <c r="C757" t="s">
        <v>793</v>
      </c>
      <c r="D757" t="s">
        <v>794</v>
      </c>
      <c r="E757" t="s">
        <v>795</v>
      </c>
      <c r="F757" t="s">
        <v>657</v>
      </c>
      <c r="G757" s="4">
        <v>-4852.57</v>
      </c>
    </row>
    <row r="758" spans="1:7" x14ac:dyDescent="0.35">
      <c r="A758" t="s">
        <v>179</v>
      </c>
      <c r="B758" t="s">
        <v>180</v>
      </c>
      <c r="C758" t="s">
        <v>793</v>
      </c>
      <c r="D758" t="s">
        <v>794</v>
      </c>
      <c r="E758" t="s">
        <v>795</v>
      </c>
      <c r="F758" t="s">
        <v>657</v>
      </c>
      <c r="G758" s="4">
        <v>-1108.46</v>
      </c>
    </row>
    <row r="759" spans="1:7" x14ac:dyDescent="0.35">
      <c r="A759" t="s">
        <v>182</v>
      </c>
      <c r="B759" t="s">
        <v>183</v>
      </c>
      <c r="C759" t="s">
        <v>793</v>
      </c>
      <c r="D759" t="s">
        <v>794</v>
      </c>
      <c r="E759" t="s">
        <v>795</v>
      </c>
      <c r="F759" t="s">
        <v>657</v>
      </c>
      <c r="G759" s="4">
        <v>-2989.48</v>
      </c>
    </row>
    <row r="760" spans="1:7" x14ac:dyDescent="0.35">
      <c r="A760" t="s">
        <v>184</v>
      </c>
      <c r="B760" t="s">
        <v>185</v>
      </c>
      <c r="C760" t="s">
        <v>793</v>
      </c>
      <c r="D760" t="s">
        <v>794</v>
      </c>
      <c r="E760" t="s">
        <v>795</v>
      </c>
      <c r="F760" t="s">
        <v>657</v>
      </c>
      <c r="G760" s="4">
        <v>-1299.52</v>
      </c>
    </row>
    <row r="761" spans="1:7" x14ac:dyDescent="0.35">
      <c r="A761" t="s">
        <v>190</v>
      </c>
      <c r="B761" t="s">
        <v>191</v>
      </c>
      <c r="C761" t="s">
        <v>793</v>
      </c>
      <c r="D761" t="s">
        <v>794</v>
      </c>
      <c r="E761" t="s">
        <v>795</v>
      </c>
      <c r="F761" t="s">
        <v>657</v>
      </c>
      <c r="G761" s="4">
        <v>-1521.97</v>
      </c>
    </row>
    <row r="762" spans="1:7" x14ac:dyDescent="0.35">
      <c r="A762" t="s">
        <v>194</v>
      </c>
      <c r="B762" t="s">
        <v>195</v>
      </c>
      <c r="C762" t="s">
        <v>793</v>
      </c>
      <c r="D762" t="s">
        <v>794</v>
      </c>
      <c r="E762" t="s">
        <v>795</v>
      </c>
      <c r="F762" t="s">
        <v>657</v>
      </c>
      <c r="G762" s="4">
        <v>-4998.17</v>
      </c>
    </row>
    <row r="763" spans="1:7" x14ac:dyDescent="0.35">
      <c r="A763" t="s">
        <v>196</v>
      </c>
      <c r="B763" t="s">
        <v>42</v>
      </c>
      <c r="C763" t="s">
        <v>793</v>
      </c>
      <c r="D763" t="s">
        <v>794</v>
      </c>
      <c r="E763" t="s">
        <v>795</v>
      </c>
      <c r="F763" t="s">
        <v>657</v>
      </c>
      <c r="G763" s="4">
        <v>-3622.7</v>
      </c>
    </row>
    <row r="764" spans="1:7" x14ac:dyDescent="0.35">
      <c r="A764" t="s">
        <v>199</v>
      </c>
      <c r="B764" t="s">
        <v>200</v>
      </c>
      <c r="C764" t="s">
        <v>793</v>
      </c>
      <c r="D764" t="s">
        <v>794</v>
      </c>
      <c r="E764" t="s">
        <v>795</v>
      </c>
      <c r="F764" t="s">
        <v>657</v>
      </c>
      <c r="G764" s="4">
        <v>-1171.55</v>
      </c>
    </row>
    <row r="765" spans="1:7" x14ac:dyDescent="0.35">
      <c r="A765" t="s">
        <v>201</v>
      </c>
      <c r="B765" t="s">
        <v>202</v>
      </c>
      <c r="C765" t="s">
        <v>793</v>
      </c>
      <c r="D765" t="s">
        <v>794</v>
      </c>
      <c r="E765" t="s">
        <v>795</v>
      </c>
      <c r="F765" t="s">
        <v>657</v>
      </c>
      <c r="G765" s="4">
        <v>-3880.83</v>
      </c>
    </row>
    <row r="766" spans="1:7" x14ac:dyDescent="0.35">
      <c r="A766" t="s">
        <v>203</v>
      </c>
      <c r="B766" t="s">
        <v>189</v>
      </c>
      <c r="C766" t="s">
        <v>793</v>
      </c>
      <c r="D766" t="s">
        <v>794</v>
      </c>
      <c r="E766" t="s">
        <v>795</v>
      </c>
      <c r="F766" t="s">
        <v>657</v>
      </c>
      <c r="G766" s="4">
        <v>-2727.93</v>
      </c>
    </row>
    <row r="767" spans="1:7" x14ac:dyDescent="0.35">
      <c r="A767" t="s">
        <v>206</v>
      </c>
      <c r="B767" t="s">
        <v>207</v>
      </c>
      <c r="C767" t="s">
        <v>793</v>
      </c>
      <c r="D767" t="s">
        <v>794</v>
      </c>
      <c r="E767" t="s">
        <v>795</v>
      </c>
      <c r="F767" t="s">
        <v>657</v>
      </c>
      <c r="G767" s="4">
        <v>-1904.55</v>
      </c>
    </row>
    <row r="768" spans="1:7" x14ac:dyDescent="0.35">
      <c r="A768" t="s">
        <v>208</v>
      </c>
      <c r="B768" t="s">
        <v>209</v>
      </c>
      <c r="C768" t="s">
        <v>793</v>
      </c>
      <c r="D768" t="s">
        <v>794</v>
      </c>
      <c r="E768" t="s">
        <v>795</v>
      </c>
      <c r="F768" t="s">
        <v>657</v>
      </c>
      <c r="G768" s="4">
        <v>-2346.87</v>
      </c>
    </row>
    <row r="769" spans="1:7" x14ac:dyDescent="0.35">
      <c r="A769" t="s">
        <v>215</v>
      </c>
      <c r="B769" t="s">
        <v>83</v>
      </c>
      <c r="C769" t="s">
        <v>793</v>
      </c>
      <c r="D769" t="s">
        <v>794</v>
      </c>
      <c r="E769" t="s">
        <v>795</v>
      </c>
      <c r="F769" t="s">
        <v>657</v>
      </c>
      <c r="G769" s="4">
        <v>-1845.99</v>
      </c>
    </row>
    <row r="770" spans="1:7" x14ac:dyDescent="0.35">
      <c r="A770" t="s">
        <v>218</v>
      </c>
      <c r="B770" t="s">
        <v>219</v>
      </c>
      <c r="C770" t="s">
        <v>793</v>
      </c>
      <c r="D770" t="s">
        <v>794</v>
      </c>
      <c r="E770" t="s">
        <v>795</v>
      </c>
      <c r="F770" t="s">
        <v>657</v>
      </c>
      <c r="G770" s="4">
        <v>-4110.47</v>
      </c>
    </row>
    <row r="771" spans="1:7" x14ac:dyDescent="0.35">
      <c r="A771" t="s">
        <v>222</v>
      </c>
      <c r="B771" t="s">
        <v>223</v>
      </c>
      <c r="C771" t="s">
        <v>793</v>
      </c>
      <c r="D771" t="s">
        <v>794</v>
      </c>
      <c r="E771" t="s">
        <v>795</v>
      </c>
      <c r="F771" t="s">
        <v>657</v>
      </c>
      <c r="G771" s="4">
        <v>-2232.8000000000002</v>
      </c>
    </row>
    <row r="772" spans="1:7" x14ac:dyDescent="0.35">
      <c r="A772" t="s">
        <v>224</v>
      </c>
      <c r="B772" t="s">
        <v>225</v>
      </c>
      <c r="C772" t="s">
        <v>793</v>
      </c>
      <c r="D772" t="s">
        <v>794</v>
      </c>
      <c r="E772" t="s">
        <v>795</v>
      </c>
      <c r="F772" t="s">
        <v>657</v>
      </c>
      <c r="G772" s="4">
        <v>-2310.2600000000002</v>
      </c>
    </row>
    <row r="773" spans="1:7" x14ac:dyDescent="0.35">
      <c r="A773" t="s">
        <v>229</v>
      </c>
      <c r="B773" t="s">
        <v>230</v>
      </c>
      <c r="C773" t="s">
        <v>793</v>
      </c>
      <c r="D773" t="s">
        <v>794</v>
      </c>
      <c r="E773" t="s">
        <v>795</v>
      </c>
      <c r="F773" t="s">
        <v>657</v>
      </c>
      <c r="G773" s="4">
        <v>-2612.08</v>
      </c>
    </row>
    <row r="774" spans="1:7" x14ac:dyDescent="0.35">
      <c r="A774" t="s">
        <v>231</v>
      </c>
      <c r="B774" t="s">
        <v>178</v>
      </c>
      <c r="C774" t="s">
        <v>793</v>
      </c>
      <c r="D774" t="s">
        <v>794</v>
      </c>
      <c r="E774" t="s">
        <v>795</v>
      </c>
      <c r="F774" t="s">
        <v>657</v>
      </c>
      <c r="G774" s="4">
        <v>-2105.02</v>
      </c>
    </row>
    <row r="775" spans="1:7" x14ac:dyDescent="0.35">
      <c r="A775" t="s">
        <v>232</v>
      </c>
      <c r="B775" t="s">
        <v>233</v>
      </c>
      <c r="C775" t="s">
        <v>793</v>
      </c>
      <c r="D775" t="s">
        <v>794</v>
      </c>
      <c r="E775" t="s">
        <v>795</v>
      </c>
      <c r="F775" t="s">
        <v>657</v>
      </c>
      <c r="G775" s="4">
        <v>-2517.0300000000002</v>
      </c>
    </row>
    <row r="776" spans="1:7" x14ac:dyDescent="0.35">
      <c r="A776" t="s">
        <v>238</v>
      </c>
      <c r="B776" t="s">
        <v>239</v>
      </c>
      <c r="C776" t="s">
        <v>793</v>
      </c>
      <c r="D776" t="s">
        <v>794</v>
      </c>
      <c r="E776" t="s">
        <v>795</v>
      </c>
      <c r="F776" t="s">
        <v>657</v>
      </c>
      <c r="G776" s="4">
        <v>-2025.34</v>
      </c>
    </row>
    <row r="777" spans="1:7" x14ac:dyDescent="0.35">
      <c r="A777" t="s">
        <v>242</v>
      </c>
      <c r="B777" t="s">
        <v>241</v>
      </c>
      <c r="C777" t="s">
        <v>793</v>
      </c>
      <c r="D777" t="s">
        <v>794</v>
      </c>
      <c r="E777" t="s">
        <v>795</v>
      </c>
      <c r="F777" t="s">
        <v>657</v>
      </c>
      <c r="G777" s="4">
        <v>-1286.68</v>
      </c>
    </row>
    <row r="778" spans="1:7" x14ac:dyDescent="0.35">
      <c r="A778" t="s">
        <v>243</v>
      </c>
      <c r="B778" t="s">
        <v>244</v>
      </c>
      <c r="C778" t="s">
        <v>793</v>
      </c>
      <c r="D778" t="s">
        <v>794</v>
      </c>
      <c r="E778" t="s">
        <v>795</v>
      </c>
      <c r="F778" t="s">
        <v>657</v>
      </c>
      <c r="G778" s="4">
        <v>-1408.29</v>
      </c>
    </row>
    <row r="779" spans="1:7" x14ac:dyDescent="0.35">
      <c r="A779" t="s">
        <v>256</v>
      </c>
      <c r="B779" t="s">
        <v>257</v>
      </c>
      <c r="C779" t="s">
        <v>793</v>
      </c>
      <c r="D779" t="s">
        <v>794</v>
      </c>
      <c r="E779" t="s">
        <v>795</v>
      </c>
      <c r="F779" t="s">
        <v>657</v>
      </c>
      <c r="G779" s="4">
        <v>-3723.68</v>
      </c>
    </row>
    <row r="780" spans="1:7" x14ac:dyDescent="0.35">
      <c r="A780" t="s">
        <v>258</v>
      </c>
      <c r="B780" t="s">
        <v>259</v>
      </c>
      <c r="C780" t="s">
        <v>793</v>
      </c>
      <c r="D780" t="s">
        <v>794</v>
      </c>
      <c r="E780" t="s">
        <v>795</v>
      </c>
      <c r="F780" t="s">
        <v>657</v>
      </c>
      <c r="G780" s="4">
        <v>-3016.59</v>
      </c>
    </row>
    <row r="781" spans="1:7" x14ac:dyDescent="0.35">
      <c r="A781" t="s">
        <v>260</v>
      </c>
      <c r="B781" t="s">
        <v>261</v>
      </c>
      <c r="C781" t="s">
        <v>793</v>
      </c>
      <c r="D781" t="s">
        <v>794</v>
      </c>
      <c r="E781" t="s">
        <v>795</v>
      </c>
      <c r="F781" t="s">
        <v>657</v>
      </c>
      <c r="G781" s="4">
        <v>-4690.66</v>
      </c>
    </row>
    <row r="782" spans="1:7" x14ac:dyDescent="0.35">
      <c r="A782" t="s">
        <v>262</v>
      </c>
      <c r="B782" t="s">
        <v>246</v>
      </c>
      <c r="C782" t="s">
        <v>793</v>
      </c>
      <c r="D782" t="s">
        <v>794</v>
      </c>
      <c r="E782" t="s">
        <v>795</v>
      </c>
      <c r="F782" t="s">
        <v>657</v>
      </c>
      <c r="G782" s="4">
        <v>-1425.8</v>
      </c>
    </row>
    <row r="783" spans="1:7" x14ac:dyDescent="0.35">
      <c r="A783" t="s">
        <v>263</v>
      </c>
      <c r="B783" t="s">
        <v>264</v>
      </c>
      <c r="C783" t="s">
        <v>793</v>
      </c>
      <c r="D783" t="s">
        <v>794</v>
      </c>
      <c r="E783" t="s">
        <v>795</v>
      </c>
      <c r="F783" t="s">
        <v>657</v>
      </c>
      <c r="G783" s="4">
        <v>-1050.81</v>
      </c>
    </row>
    <row r="784" spans="1:7" x14ac:dyDescent="0.35">
      <c r="A784" t="s">
        <v>265</v>
      </c>
      <c r="B784" t="s">
        <v>266</v>
      </c>
      <c r="C784" t="s">
        <v>793</v>
      </c>
      <c r="D784" t="s">
        <v>794</v>
      </c>
      <c r="E784" t="s">
        <v>795</v>
      </c>
      <c r="F784" t="s">
        <v>657</v>
      </c>
      <c r="G784" s="4">
        <v>-1709.5</v>
      </c>
    </row>
    <row r="785" spans="1:7" x14ac:dyDescent="0.35">
      <c r="A785" t="s">
        <v>267</v>
      </c>
      <c r="B785" t="s">
        <v>268</v>
      </c>
      <c r="C785" t="s">
        <v>793</v>
      </c>
      <c r="D785" t="s">
        <v>794</v>
      </c>
      <c r="E785" t="s">
        <v>795</v>
      </c>
      <c r="F785" t="s">
        <v>657</v>
      </c>
      <c r="G785" s="4">
        <v>-4509.46</v>
      </c>
    </row>
    <row r="786" spans="1:7" x14ac:dyDescent="0.35">
      <c r="A786" t="s">
        <v>272</v>
      </c>
      <c r="B786" t="s">
        <v>273</v>
      </c>
      <c r="C786" t="s">
        <v>793</v>
      </c>
      <c r="D786" t="s">
        <v>794</v>
      </c>
      <c r="E786" t="s">
        <v>795</v>
      </c>
      <c r="F786" t="s">
        <v>657</v>
      </c>
      <c r="G786" s="4">
        <v>-4295.7</v>
      </c>
    </row>
    <row r="787" spans="1:7" x14ac:dyDescent="0.35">
      <c r="A787" t="s">
        <v>274</v>
      </c>
      <c r="B787" t="s">
        <v>275</v>
      </c>
      <c r="C787" t="s">
        <v>793</v>
      </c>
      <c r="D787" t="s">
        <v>794</v>
      </c>
      <c r="E787" t="s">
        <v>795</v>
      </c>
      <c r="F787" t="s">
        <v>657</v>
      </c>
      <c r="G787" s="4">
        <v>-1078.28</v>
      </c>
    </row>
    <row r="788" spans="1:7" x14ac:dyDescent="0.35">
      <c r="A788" t="s">
        <v>276</v>
      </c>
      <c r="B788" t="s">
        <v>277</v>
      </c>
      <c r="C788" t="s">
        <v>793</v>
      </c>
      <c r="D788" t="s">
        <v>794</v>
      </c>
      <c r="E788" t="s">
        <v>795</v>
      </c>
      <c r="F788" t="s">
        <v>657</v>
      </c>
      <c r="G788" s="4">
        <v>-4125.57</v>
      </c>
    </row>
    <row r="789" spans="1:7" x14ac:dyDescent="0.35">
      <c r="A789" t="s">
        <v>278</v>
      </c>
      <c r="B789" t="s">
        <v>279</v>
      </c>
      <c r="C789" t="s">
        <v>793</v>
      </c>
      <c r="D789" t="s">
        <v>794</v>
      </c>
      <c r="E789" t="s">
        <v>795</v>
      </c>
      <c r="F789" t="s">
        <v>657</v>
      </c>
      <c r="G789" s="4">
        <v>-1484.3</v>
      </c>
    </row>
    <row r="790" spans="1:7" x14ac:dyDescent="0.35">
      <c r="A790" t="s">
        <v>282</v>
      </c>
      <c r="B790" t="s">
        <v>44</v>
      </c>
      <c r="C790" t="s">
        <v>793</v>
      </c>
      <c r="D790" t="s">
        <v>794</v>
      </c>
      <c r="E790" t="s">
        <v>795</v>
      </c>
      <c r="F790" t="s">
        <v>657</v>
      </c>
      <c r="G790" s="4">
        <v>-1813.26</v>
      </c>
    </row>
    <row r="791" spans="1:7" x14ac:dyDescent="0.35">
      <c r="A791" t="s">
        <v>285</v>
      </c>
      <c r="B791" t="s">
        <v>286</v>
      </c>
      <c r="C791" t="s">
        <v>793</v>
      </c>
      <c r="D791" t="s">
        <v>794</v>
      </c>
      <c r="E791" t="s">
        <v>795</v>
      </c>
      <c r="F791" t="s">
        <v>657</v>
      </c>
      <c r="G791" s="4">
        <v>-3174.98</v>
      </c>
    </row>
    <row r="792" spans="1:7" x14ac:dyDescent="0.35">
      <c r="A792" t="s">
        <v>287</v>
      </c>
      <c r="B792" t="s">
        <v>288</v>
      </c>
      <c r="C792" t="s">
        <v>793</v>
      </c>
      <c r="D792" t="s">
        <v>794</v>
      </c>
      <c r="E792" t="s">
        <v>795</v>
      </c>
      <c r="F792" t="s">
        <v>657</v>
      </c>
      <c r="G792" s="4">
        <v>-2544.21</v>
      </c>
    </row>
    <row r="793" spans="1:7" x14ac:dyDescent="0.35">
      <c r="A793" t="s">
        <v>301</v>
      </c>
      <c r="B793" t="s">
        <v>302</v>
      </c>
      <c r="C793" t="s">
        <v>793</v>
      </c>
      <c r="D793" t="s">
        <v>794</v>
      </c>
      <c r="E793" t="s">
        <v>795</v>
      </c>
      <c r="F793" t="s">
        <v>657</v>
      </c>
      <c r="G793" s="4">
        <v>-3417.48</v>
      </c>
    </row>
    <row r="794" spans="1:7" x14ac:dyDescent="0.35">
      <c r="A794" t="s">
        <v>303</v>
      </c>
      <c r="B794" t="s">
        <v>275</v>
      </c>
      <c r="C794" t="s">
        <v>793</v>
      </c>
      <c r="D794" t="s">
        <v>794</v>
      </c>
      <c r="E794" t="s">
        <v>795</v>
      </c>
      <c r="F794" t="s">
        <v>657</v>
      </c>
      <c r="G794" s="4">
        <v>-2171.61</v>
      </c>
    </row>
    <row r="795" spans="1:7" x14ac:dyDescent="0.35">
      <c r="A795" t="s">
        <v>304</v>
      </c>
      <c r="B795" t="s">
        <v>34</v>
      </c>
      <c r="C795" t="s">
        <v>793</v>
      </c>
      <c r="D795" t="s">
        <v>794</v>
      </c>
      <c r="E795" t="s">
        <v>795</v>
      </c>
      <c r="F795" t="s">
        <v>657</v>
      </c>
      <c r="G795" s="4">
        <v>-1121.81</v>
      </c>
    </row>
    <row r="796" spans="1:7" x14ac:dyDescent="0.35">
      <c r="A796" t="s">
        <v>305</v>
      </c>
      <c r="B796" t="s">
        <v>202</v>
      </c>
      <c r="C796" t="s">
        <v>793</v>
      </c>
      <c r="D796" t="s">
        <v>794</v>
      </c>
      <c r="E796" t="s">
        <v>795</v>
      </c>
      <c r="F796" t="s">
        <v>657</v>
      </c>
      <c r="G796" s="4">
        <v>-4020.32</v>
      </c>
    </row>
    <row r="797" spans="1:7" x14ac:dyDescent="0.35">
      <c r="A797" t="s">
        <v>308</v>
      </c>
      <c r="B797" t="s">
        <v>309</v>
      </c>
      <c r="C797" t="s">
        <v>793</v>
      </c>
      <c r="D797" t="s">
        <v>794</v>
      </c>
      <c r="E797" t="s">
        <v>795</v>
      </c>
      <c r="F797" t="s">
        <v>657</v>
      </c>
      <c r="G797" s="4">
        <v>-1726.37</v>
      </c>
    </row>
    <row r="798" spans="1:7" x14ac:dyDescent="0.35">
      <c r="A798" t="s">
        <v>310</v>
      </c>
      <c r="B798" t="s">
        <v>311</v>
      </c>
      <c r="C798" t="s">
        <v>793</v>
      </c>
      <c r="D798" t="s">
        <v>794</v>
      </c>
      <c r="E798" t="s">
        <v>795</v>
      </c>
      <c r="F798" t="s">
        <v>657</v>
      </c>
      <c r="G798" s="4">
        <v>-1084.79</v>
      </c>
    </row>
    <row r="799" spans="1:7" x14ac:dyDescent="0.35">
      <c r="A799" t="s">
        <v>312</v>
      </c>
      <c r="B799" t="s">
        <v>162</v>
      </c>
      <c r="C799" t="s">
        <v>793</v>
      </c>
      <c r="D799" t="s">
        <v>794</v>
      </c>
      <c r="E799" t="s">
        <v>795</v>
      </c>
      <c r="F799" t="s">
        <v>657</v>
      </c>
      <c r="G799" s="4">
        <v>-3401.86</v>
      </c>
    </row>
    <row r="800" spans="1:7" x14ac:dyDescent="0.35">
      <c r="A800" t="s">
        <v>313</v>
      </c>
      <c r="B800" t="s">
        <v>314</v>
      </c>
      <c r="C800" t="s">
        <v>793</v>
      </c>
      <c r="D800" t="s">
        <v>794</v>
      </c>
      <c r="E800" t="s">
        <v>795</v>
      </c>
      <c r="F800" t="s">
        <v>657</v>
      </c>
      <c r="G800" s="4">
        <v>-1002.52</v>
      </c>
    </row>
    <row r="801" spans="1:7" x14ac:dyDescent="0.35">
      <c r="A801" t="s">
        <v>317</v>
      </c>
      <c r="B801" t="s">
        <v>164</v>
      </c>
      <c r="C801" t="s">
        <v>793</v>
      </c>
      <c r="D801" t="s">
        <v>794</v>
      </c>
      <c r="E801" t="s">
        <v>795</v>
      </c>
      <c r="F801" t="s">
        <v>657</v>
      </c>
      <c r="G801" s="4">
        <v>-3505.82</v>
      </c>
    </row>
    <row r="802" spans="1:7" x14ac:dyDescent="0.35">
      <c r="A802" t="s">
        <v>318</v>
      </c>
      <c r="B802" t="s">
        <v>319</v>
      </c>
      <c r="C802" t="s">
        <v>793</v>
      </c>
      <c r="D802" t="s">
        <v>794</v>
      </c>
      <c r="E802" t="s">
        <v>795</v>
      </c>
      <c r="F802" t="s">
        <v>657</v>
      </c>
      <c r="G802" s="4">
        <v>-1268.2</v>
      </c>
    </row>
    <row r="803" spans="1:7" x14ac:dyDescent="0.35">
      <c r="A803" t="s">
        <v>322</v>
      </c>
      <c r="B803" t="s">
        <v>42</v>
      </c>
      <c r="C803" t="s">
        <v>793</v>
      </c>
      <c r="D803" t="s">
        <v>794</v>
      </c>
      <c r="E803" t="s">
        <v>795</v>
      </c>
      <c r="F803" t="s">
        <v>657</v>
      </c>
      <c r="G803" s="4">
        <v>-2983.25</v>
      </c>
    </row>
    <row r="804" spans="1:7" x14ac:dyDescent="0.35">
      <c r="A804" t="s">
        <v>323</v>
      </c>
      <c r="B804" t="s">
        <v>324</v>
      </c>
      <c r="C804" t="s">
        <v>793</v>
      </c>
      <c r="D804" t="s">
        <v>794</v>
      </c>
      <c r="E804" t="s">
        <v>795</v>
      </c>
      <c r="F804" t="s">
        <v>657</v>
      </c>
      <c r="G804" s="4">
        <v>-3689.18</v>
      </c>
    </row>
    <row r="805" spans="1:7" x14ac:dyDescent="0.35">
      <c r="A805" t="s">
        <v>325</v>
      </c>
      <c r="B805" t="s">
        <v>326</v>
      </c>
      <c r="C805" t="s">
        <v>793</v>
      </c>
      <c r="D805" t="s">
        <v>794</v>
      </c>
      <c r="E805" t="s">
        <v>795</v>
      </c>
      <c r="F805" t="s">
        <v>657</v>
      </c>
      <c r="G805" s="4">
        <v>-2997.3</v>
      </c>
    </row>
    <row r="806" spans="1:7" x14ac:dyDescent="0.35">
      <c r="A806" t="s">
        <v>332</v>
      </c>
      <c r="B806" t="s">
        <v>42</v>
      </c>
      <c r="C806" t="s">
        <v>793</v>
      </c>
      <c r="D806" t="s">
        <v>794</v>
      </c>
      <c r="E806" t="s">
        <v>795</v>
      </c>
      <c r="F806" t="s">
        <v>657</v>
      </c>
      <c r="G806" s="4">
        <v>-3697.75</v>
      </c>
    </row>
    <row r="807" spans="1:7" x14ac:dyDescent="0.35">
      <c r="A807" t="s">
        <v>333</v>
      </c>
      <c r="B807" t="s">
        <v>334</v>
      </c>
      <c r="C807" t="s">
        <v>793</v>
      </c>
      <c r="D807" t="s">
        <v>794</v>
      </c>
      <c r="E807" t="s">
        <v>795</v>
      </c>
      <c r="F807" t="s">
        <v>657</v>
      </c>
      <c r="G807" s="4">
        <v>-2412.5700000000002</v>
      </c>
    </row>
    <row r="808" spans="1:7" x14ac:dyDescent="0.35">
      <c r="A808" t="s">
        <v>335</v>
      </c>
      <c r="B808" t="s">
        <v>336</v>
      </c>
      <c r="C808" t="s">
        <v>793</v>
      </c>
      <c r="D808" t="s">
        <v>794</v>
      </c>
      <c r="E808" t="s">
        <v>795</v>
      </c>
      <c r="F808" t="s">
        <v>657</v>
      </c>
      <c r="G808" s="4">
        <v>-3933.24</v>
      </c>
    </row>
    <row r="809" spans="1:7" x14ac:dyDescent="0.35">
      <c r="A809" t="s">
        <v>340</v>
      </c>
      <c r="B809" t="s">
        <v>341</v>
      </c>
      <c r="C809" t="s">
        <v>793</v>
      </c>
      <c r="D809" t="s">
        <v>794</v>
      </c>
      <c r="E809" t="s">
        <v>795</v>
      </c>
      <c r="F809" t="s">
        <v>657</v>
      </c>
      <c r="G809" s="4">
        <v>-1647.23</v>
      </c>
    </row>
    <row r="810" spans="1:7" x14ac:dyDescent="0.35">
      <c r="A810" t="s">
        <v>344</v>
      </c>
      <c r="B810" t="s">
        <v>345</v>
      </c>
      <c r="C810" t="s">
        <v>796</v>
      </c>
      <c r="D810" t="s">
        <v>797</v>
      </c>
      <c r="E810" t="s">
        <v>798</v>
      </c>
      <c r="F810" t="s">
        <v>12</v>
      </c>
      <c r="G810" s="4">
        <v>147.66999999999999</v>
      </c>
    </row>
    <row r="811" spans="1:7" x14ac:dyDescent="0.35">
      <c r="A811" t="s">
        <v>346</v>
      </c>
      <c r="B811" t="s">
        <v>347</v>
      </c>
      <c r="C811" t="s">
        <v>796</v>
      </c>
      <c r="D811" t="s">
        <v>797</v>
      </c>
      <c r="E811" t="s">
        <v>798</v>
      </c>
      <c r="F811" t="s">
        <v>12</v>
      </c>
      <c r="G811" s="4">
        <v>509.4</v>
      </c>
    </row>
    <row r="812" spans="1:7" x14ac:dyDescent="0.35">
      <c r="A812" t="s">
        <v>348</v>
      </c>
      <c r="B812" t="s">
        <v>319</v>
      </c>
      <c r="C812" t="s">
        <v>796</v>
      </c>
      <c r="D812" t="s">
        <v>797</v>
      </c>
      <c r="E812" t="s">
        <v>798</v>
      </c>
      <c r="F812" t="s">
        <v>12</v>
      </c>
      <c r="G812" s="4">
        <v>862.15</v>
      </c>
    </row>
    <row r="813" spans="1:7" x14ac:dyDescent="0.35">
      <c r="A813" t="s">
        <v>653</v>
      </c>
      <c r="B813" t="s">
        <v>164</v>
      </c>
      <c r="C813" t="s">
        <v>796</v>
      </c>
      <c r="D813" t="s">
        <v>797</v>
      </c>
      <c r="E813" t="s">
        <v>798</v>
      </c>
      <c r="F813" t="s">
        <v>12</v>
      </c>
      <c r="G813" s="4">
        <v>-241.88</v>
      </c>
    </row>
    <row r="814" spans="1:7" x14ac:dyDescent="0.35">
      <c r="A814" t="s">
        <v>658</v>
      </c>
      <c r="B814" t="s">
        <v>659</v>
      </c>
      <c r="C814" t="s">
        <v>796</v>
      </c>
      <c r="D814" t="s">
        <v>797</v>
      </c>
      <c r="E814" t="s">
        <v>798</v>
      </c>
      <c r="F814" t="s">
        <v>12</v>
      </c>
      <c r="G814" s="4">
        <v>-946.96</v>
      </c>
    </row>
    <row r="815" spans="1:7" x14ac:dyDescent="0.35">
      <c r="A815" t="s">
        <v>660</v>
      </c>
      <c r="B815" t="s">
        <v>562</v>
      </c>
      <c r="C815" t="s">
        <v>796</v>
      </c>
      <c r="D815" t="s">
        <v>797</v>
      </c>
      <c r="E815" t="s">
        <v>798</v>
      </c>
      <c r="F815" t="s">
        <v>12</v>
      </c>
      <c r="G815" s="4">
        <v>-799.86</v>
      </c>
    </row>
    <row r="816" spans="1:7" x14ac:dyDescent="0.35">
      <c r="A816" t="s">
        <v>349</v>
      </c>
      <c r="B816" t="s">
        <v>110</v>
      </c>
      <c r="C816" t="s">
        <v>796</v>
      </c>
      <c r="D816" t="s">
        <v>797</v>
      </c>
      <c r="E816" t="s">
        <v>798</v>
      </c>
      <c r="F816" t="s">
        <v>12</v>
      </c>
      <c r="G816" s="4">
        <v>208.82</v>
      </c>
    </row>
    <row r="817" spans="1:7" x14ac:dyDescent="0.35">
      <c r="A817" t="s">
        <v>661</v>
      </c>
      <c r="B817" t="s">
        <v>93</v>
      </c>
      <c r="C817" t="s">
        <v>796</v>
      </c>
      <c r="D817" t="s">
        <v>797</v>
      </c>
      <c r="E817" t="s">
        <v>798</v>
      </c>
      <c r="F817" t="s">
        <v>12</v>
      </c>
      <c r="G817" s="4">
        <v>-587.34</v>
      </c>
    </row>
    <row r="818" spans="1:7" x14ac:dyDescent="0.35">
      <c r="A818" t="s">
        <v>662</v>
      </c>
      <c r="B818" t="s">
        <v>663</v>
      </c>
      <c r="C818" t="s">
        <v>796</v>
      </c>
      <c r="D818" t="s">
        <v>797</v>
      </c>
      <c r="E818" t="s">
        <v>798</v>
      </c>
      <c r="F818" t="s">
        <v>12</v>
      </c>
      <c r="G818" s="4">
        <v>-857.67</v>
      </c>
    </row>
    <row r="819" spans="1:7" x14ac:dyDescent="0.35">
      <c r="A819" t="s">
        <v>350</v>
      </c>
      <c r="B819" t="s">
        <v>24</v>
      </c>
      <c r="C819" t="s">
        <v>796</v>
      </c>
      <c r="D819" t="s">
        <v>797</v>
      </c>
      <c r="E819" t="s">
        <v>798</v>
      </c>
      <c r="F819" t="s">
        <v>12</v>
      </c>
      <c r="G819" s="4">
        <v>900.09</v>
      </c>
    </row>
    <row r="820" spans="1:7" x14ac:dyDescent="0.35">
      <c r="A820" t="s">
        <v>351</v>
      </c>
      <c r="B820" t="s">
        <v>352</v>
      </c>
      <c r="C820" t="s">
        <v>796</v>
      </c>
      <c r="D820" t="s">
        <v>797</v>
      </c>
      <c r="E820" t="s">
        <v>798</v>
      </c>
      <c r="F820" t="s">
        <v>12</v>
      </c>
      <c r="G820" s="4">
        <v>996.89</v>
      </c>
    </row>
    <row r="821" spans="1:7" x14ac:dyDescent="0.35">
      <c r="A821" t="s">
        <v>353</v>
      </c>
      <c r="B821" t="s">
        <v>71</v>
      </c>
      <c r="C821" t="s">
        <v>796</v>
      </c>
      <c r="D821" t="s">
        <v>797</v>
      </c>
      <c r="E821" t="s">
        <v>798</v>
      </c>
      <c r="F821" t="s">
        <v>12</v>
      </c>
      <c r="G821" s="4">
        <v>689.3</v>
      </c>
    </row>
    <row r="822" spans="1:7" x14ac:dyDescent="0.35">
      <c r="A822" t="s">
        <v>354</v>
      </c>
      <c r="B822" t="s">
        <v>355</v>
      </c>
      <c r="C822" t="s">
        <v>796</v>
      </c>
      <c r="D822" t="s">
        <v>797</v>
      </c>
      <c r="E822" t="s">
        <v>798</v>
      </c>
      <c r="F822" t="s">
        <v>12</v>
      </c>
      <c r="G822" s="4">
        <v>513.66999999999996</v>
      </c>
    </row>
    <row r="823" spans="1:7" x14ac:dyDescent="0.35">
      <c r="A823" t="s">
        <v>664</v>
      </c>
      <c r="B823" t="s">
        <v>178</v>
      </c>
      <c r="C823" t="s">
        <v>796</v>
      </c>
      <c r="D823" t="s">
        <v>797</v>
      </c>
      <c r="E823" t="s">
        <v>798</v>
      </c>
      <c r="F823" t="s">
        <v>12</v>
      </c>
      <c r="G823" s="4">
        <v>-325.8</v>
      </c>
    </row>
    <row r="824" spans="1:7" x14ac:dyDescent="0.35">
      <c r="A824" t="s">
        <v>356</v>
      </c>
      <c r="B824" t="s">
        <v>357</v>
      </c>
      <c r="C824" t="s">
        <v>796</v>
      </c>
      <c r="D824" t="s">
        <v>797</v>
      </c>
      <c r="E824" t="s">
        <v>798</v>
      </c>
      <c r="F824" t="s">
        <v>12</v>
      </c>
      <c r="G824" s="4">
        <v>574.17999999999995</v>
      </c>
    </row>
    <row r="825" spans="1:7" x14ac:dyDescent="0.35">
      <c r="A825" t="s">
        <v>358</v>
      </c>
      <c r="B825" t="s">
        <v>314</v>
      </c>
      <c r="C825" t="s">
        <v>796</v>
      </c>
      <c r="D825" t="s">
        <v>797</v>
      </c>
      <c r="E825" t="s">
        <v>798</v>
      </c>
      <c r="F825" t="s">
        <v>12</v>
      </c>
      <c r="G825" s="4">
        <v>806.72</v>
      </c>
    </row>
    <row r="826" spans="1:7" x14ac:dyDescent="0.35">
      <c r="A826" t="s">
        <v>665</v>
      </c>
      <c r="B826" t="s">
        <v>524</v>
      </c>
      <c r="C826" t="s">
        <v>796</v>
      </c>
      <c r="D826" t="s">
        <v>797</v>
      </c>
      <c r="E826" t="s">
        <v>798</v>
      </c>
      <c r="F826" t="s">
        <v>12</v>
      </c>
      <c r="G826" s="4">
        <v>-662.24</v>
      </c>
    </row>
    <row r="827" spans="1:7" x14ac:dyDescent="0.35">
      <c r="A827" t="s">
        <v>666</v>
      </c>
      <c r="B827" t="s">
        <v>147</v>
      </c>
      <c r="C827" t="s">
        <v>796</v>
      </c>
      <c r="D827" t="s">
        <v>797</v>
      </c>
      <c r="E827" t="s">
        <v>798</v>
      </c>
      <c r="F827" t="s">
        <v>12</v>
      </c>
      <c r="G827" s="4">
        <v>-157.06</v>
      </c>
    </row>
    <row r="828" spans="1:7" x14ac:dyDescent="0.35">
      <c r="A828" t="s">
        <v>359</v>
      </c>
      <c r="B828" t="s">
        <v>360</v>
      </c>
      <c r="C828" t="s">
        <v>796</v>
      </c>
      <c r="D828" t="s">
        <v>797</v>
      </c>
      <c r="E828" t="s">
        <v>798</v>
      </c>
      <c r="F828" t="s">
        <v>12</v>
      </c>
      <c r="G828" s="4">
        <v>645.87</v>
      </c>
    </row>
    <row r="829" spans="1:7" x14ac:dyDescent="0.35">
      <c r="A829" t="s">
        <v>667</v>
      </c>
      <c r="B829" t="s">
        <v>178</v>
      </c>
      <c r="C829" t="s">
        <v>796</v>
      </c>
      <c r="D829" t="s">
        <v>797</v>
      </c>
      <c r="E829" t="s">
        <v>798</v>
      </c>
      <c r="F829" t="s">
        <v>12</v>
      </c>
      <c r="G829" s="4">
        <v>-838.77</v>
      </c>
    </row>
    <row r="830" spans="1:7" x14ac:dyDescent="0.35">
      <c r="A830" t="s">
        <v>668</v>
      </c>
      <c r="B830" t="s">
        <v>622</v>
      </c>
      <c r="C830" t="s">
        <v>796</v>
      </c>
      <c r="D830" t="s">
        <v>797</v>
      </c>
      <c r="E830" t="s">
        <v>798</v>
      </c>
      <c r="F830" t="s">
        <v>12</v>
      </c>
      <c r="G830" s="4">
        <v>-114.89</v>
      </c>
    </row>
    <row r="831" spans="1:7" x14ac:dyDescent="0.35">
      <c r="A831" t="s">
        <v>361</v>
      </c>
      <c r="B831" t="s">
        <v>244</v>
      </c>
      <c r="C831" t="s">
        <v>796</v>
      </c>
      <c r="D831" t="s">
        <v>797</v>
      </c>
      <c r="E831" t="s">
        <v>798</v>
      </c>
      <c r="F831" t="s">
        <v>12</v>
      </c>
      <c r="G831" s="4">
        <v>143.04</v>
      </c>
    </row>
    <row r="832" spans="1:7" x14ac:dyDescent="0.35">
      <c r="A832" t="s">
        <v>669</v>
      </c>
      <c r="B832" t="s">
        <v>649</v>
      </c>
      <c r="C832" t="s">
        <v>796</v>
      </c>
      <c r="D832" t="s">
        <v>797</v>
      </c>
      <c r="E832" t="s">
        <v>798</v>
      </c>
      <c r="F832" t="s">
        <v>12</v>
      </c>
      <c r="G832" s="4">
        <v>-752.05</v>
      </c>
    </row>
    <row r="833" spans="1:7" x14ac:dyDescent="0.35">
      <c r="A833" t="s">
        <v>670</v>
      </c>
      <c r="B833" t="s">
        <v>569</v>
      </c>
      <c r="C833" t="s">
        <v>796</v>
      </c>
      <c r="D833" t="s">
        <v>797</v>
      </c>
      <c r="E833" t="s">
        <v>798</v>
      </c>
      <c r="F833" t="s">
        <v>12</v>
      </c>
      <c r="G833" s="4">
        <v>-976.4</v>
      </c>
    </row>
    <row r="834" spans="1:7" x14ac:dyDescent="0.35">
      <c r="A834" t="s">
        <v>362</v>
      </c>
      <c r="B834" t="s">
        <v>363</v>
      </c>
      <c r="C834" t="s">
        <v>796</v>
      </c>
      <c r="D834" t="s">
        <v>797</v>
      </c>
      <c r="E834" t="s">
        <v>798</v>
      </c>
      <c r="F834" t="s">
        <v>12</v>
      </c>
      <c r="G834" s="4">
        <v>590.46</v>
      </c>
    </row>
    <row r="835" spans="1:7" x14ac:dyDescent="0.35">
      <c r="A835" t="s">
        <v>364</v>
      </c>
      <c r="B835" t="s">
        <v>67</v>
      </c>
      <c r="C835" t="s">
        <v>796</v>
      </c>
      <c r="D835" t="s">
        <v>797</v>
      </c>
      <c r="E835" t="s">
        <v>798</v>
      </c>
      <c r="F835" t="s">
        <v>12</v>
      </c>
      <c r="G835" s="4">
        <v>990.05</v>
      </c>
    </row>
    <row r="836" spans="1:7" x14ac:dyDescent="0.35">
      <c r="A836" t="s">
        <v>671</v>
      </c>
      <c r="B836" t="s">
        <v>22</v>
      </c>
      <c r="C836" t="s">
        <v>796</v>
      </c>
      <c r="D836" t="s">
        <v>797</v>
      </c>
      <c r="E836" t="s">
        <v>798</v>
      </c>
      <c r="F836" t="s">
        <v>12</v>
      </c>
      <c r="G836" s="4">
        <v>-232.89</v>
      </c>
    </row>
    <row r="837" spans="1:7" x14ac:dyDescent="0.35">
      <c r="A837" t="s">
        <v>672</v>
      </c>
      <c r="B837" t="s">
        <v>463</v>
      </c>
      <c r="C837" t="s">
        <v>796</v>
      </c>
      <c r="D837" t="s">
        <v>797</v>
      </c>
      <c r="E837" t="s">
        <v>798</v>
      </c>
      <c r="F837" t="s">
        <v>12</v>
      </c>
      <c r="G837" s="4">
        <v>-524.5</v>
      </c>
    </row>
    <row r="838" spans="1:7" x14ac:dyDescent="0.35">
      <c r="A838" t="s">
        <v>365</v>
      </c>
      <c r="B838" t="s">
        <v>366</v>
      </c>
      <c r="C838" t="s">
        <v>796</v>
      </c>
      <c r="D838" t="s">
        <v>797</v>
      </c>
      <c r="E838" t="s">
        <v>798</v>
      </c>
      <c r="F838" t="s">
        <v>12</v>
      </c>
      <c r="G838" s="4">
        <v>481.87</v>
      </c>
    </row>
    <row r="839" spans="1:7" x14ac:dyDescent="0.35">
      <c r="A839" t="s">
        <v>367</v>
      </c>
      <c r="B839" t="s">
        <v>266</v>
      </c>
      <c r="C839" t="s">
        <v>796</v>
      </c>
      <c r="D839" t="s">
        <v>797</v>
      </c>
      <c r="E839" t="s">
        <v>798</v>
      </c>
      <c r="F839" t="s">
        <v>12</v>
      </c>
      <c r="G839" s="4">
        <v>737.81</v>
      </c>
    </row>
    <row r="840" spans="1:7" x14ac:dyDescent="0.35">
      <c r="A840" t="s">
        <v>368</v>
      </c>
      <c r="B840" t="s">
        <v>369</v>
      </c>
      <c r="C840" t="s">
        <v>796</v>
      </c>
      <c r="D840" t="s">
        <v>797</v>
      </c>
      <c r="E840" t="s">
        <v>798</v>
      </c>
      <c r="F840" t="s">
        <v>12</v>
      </c>
      <c r="G840" s="4">
        <v>686.88</v>
      </c>
    </row>
    <row r="841" spans="1:7" x14ac:dyDescent="0.35">
      <c r="A841" t="s">
        <v>673</v>
      </c>
      <c r="B841" t="s">
        <v>112</v>
      </c>
      <c r="C841" t="s">
        <v>796</v>
      </c>
      <c r="D841" t="s">
        <v>797</v>
      </c>
      <c r="E841" t="s">
        <v>798</v>
      </c>
      <c r="F841" t="s">
        <v>12</v>
      </c>
      <c r="G841" s="4">
        <v>-393.72</v>
      </c>
    </row>
    <row r="842" spans="1:7" x14ac:dyDescent="0.35">
      <c r="A842" t="s">
        <v>370</v>
      </c>
      <c r="B842" t="s">
        <v>371</v>
      </c>
      <c r="C842" t="s">
        <v>796</v>
      </c>
      <c r="D842" t="s">
        <v>797</v>
      </c>
      <c r="E842" t="s">
        <v>798</v>
      </c>
      <c r="F842" t="s">
        <v>12</v>
      </c>
      <c r="G842" s="4">
        <v>887.98</v>
      </c>
    </row>
    <row r="843" spans="1:7" x14ac:dyDescent="0.35">
      <c r="A843" t="s">
        <v>674</v>
      </c>
      <c r="B843" t="s">
        <v>286</v>
      </c>
      <c r="C843" t="s">
        <v>796</v>
      </c>
      <c r="D843" t="s">
        <v>797</v>
      </c>
      <c r="E843" t="s">
        <v>798</v>
      </c>
      <c r="F843" t="s">
        <v>12</v>
      </c>
      <c r="G843" s="4">
        <v>-752.95</v>
      </c>
    </row>
    <row r="844" spans="1:7" x14ac:dyDescent="0.35">
      <c r="A844" t="s">
        <v>675</v>
      </c>
      <c r="B844" t="s">
        <v>676</v>
      </c>
      <c r="C844" t="s">
        <v>796</v>
      </c>
      <c r="D844" t="s">
        <v>797</v>
      </c>
      <c r="E844" t="s">
        <v>798</v>
      </c>
      <c r="F844" t="s">
        <v>12</v>
      </c>
      <c r="G844" s="4">
        <v>-546.30999999999995</v>
      </c>
    </row>
    <row r="845" spans="1:7" x14ac:dyDescent="0.35">
      <c r="A845" t="s">
        <v>372</v>
      </c>
      <c r="B845" t="s">
        <v>14</v>
      </c>
      <c r="C845" t="s">
        <v>796</v>
      </c>
      <c r="D845" t="s">
        <v>797</v>
      </c>
      <c r="E845" t="s">
        <v>798</v>
      </c>
      <c r="F845" t="s">
        <v>12</v>
      </c>
      <c r="G845" s="4">
        <v>945.22</v>
      </c>
    </row>
    <row r="846" spans="1:7" x14ac:dyDescent="0.35">
      <c r="A846" t="s">
        <v>677</v>
      </c>
      <c r="B846" t="s">
        <v>678</v>
      </c>
      <c r="C846" t="s">
        <v>796</v>
      </c>
      <c r="D846" t="s">
        <v>797</v>
      </c>
      <c r="E846" t="s">
        <v>798</v>
      </c>
      <c r="F846" t="s">
        <v>12</v>
      </c>
      <c r="G846" s="4">
        <v>-498.69</v>
      </c>
    </row>
    <row r="847" spans="1:7" x14ac:dyDescent="0.35">
      <c r="A847" t="s">
        <v>679</v>
      </c>
      <c r="B847" t="s">
        <v>415</v>
      </c>
      <c r="C847" t="s">
        <v>796</v>
      </c>
      <c r="D847" t="s">
        <v>797</v>
      </c>
      <c r="E847" t="s">
        <v>798</v>
      </c>
      <c r="F847" t="s">
        <v>12</v>
      </c>
      <c r="G847" s="4">
        <v>-233.11</v>
      </c>
    </row>
    <row r="848" spans="1:7" x14ac:dyDescent="0.35">
      <c r="A848" t="s">
        <v>680</v>
      </c>
      <c r="B848" t="s">
        <v>127</v>
      </c>
      <c r="C848" t="s">
        <v>796</v>
      </c>
      <c r="D848" t="s">
        <v>797</v>
      </c>
      <c r="E848" t="s">
        <v>798</v>
      </c>
      <c r="F848" t="s">
        <v>12</v>
      </c>
      <c r="G848" s="4">
        <v>-755.69</v>
      </c>
    </row>
    <row r="849" spans="1:7" x14ac:dyDescent="0.35">
      <c r="A849" t="s">
        <v>681</v>
      </c>
      <c r="B849" t="s">
        <v>223</v>
      </c>
      <c r="C849" t="s">
        <v>796</v>
      </c>
      <c r="D849" t="s">
        <v>797</v>
      </c>
      <c r="E849" t="s">
        <v>798</v>
      </c>
      <c r="F849" t="s">
        <v>12</v>
      </c>
      <c r="G849" s="4">
        <v>-355.5</v>
      </c>
    </row>
    <row r="850" spans="1:7" x14ac:dyDescent="0.35">
      <c r="A850" t="s">
        <v>373</v>
      </c>
      <c r="B850" t="s">
        <v>374</v>
      </c>
      <c r="C850" t="s">
        <v>796</v>
      </c>
      <c r="D850" t="s">
        <v>797</v>
      </c>
      <c r="E850" t="s">
        <v>798</v>
      </c>
      <c r="F850" t="s">
        <v>12</v>
      </c>
      <c r="G850" s="4">
        <v>196.06</v>
      </c>
    </row>
    <row r="851" spans="1:7" x14ac:dyDescent="0.35">
      <c r="A851" t="s">
        <v>682</v>
      </c>
      <c r="B851" t="s">
        <v>22</v>
      </c>
      <c r="C851" t="s">
        <v>796</v>
      </c>
      <c r="D851" t="s">
        <v>797</v>
      </c>
      <c r="E851" t="s">
        <v>798</v>
      </c>
      <c r="F851" t="s">
        <v>12</v>
      </c>
      <c r="G851" s="4">
        <v>-599.82000000000005</v>
      </c>
    </row>
    <row r="852" spans="1:7" x14ac:dyDescent="0.35">
      <c r="A852" t="s">
        <v>683</v>
      </c>
      <c r="B852" t="s">
        <v>371</v>
      </c>
      <c r="C852" t="s">
        <v>796</v>
      </c>
      <c r="D852" t="s">
        <v>797</v>
      </c>
      <c r="E852" t="s">
        <v>798</v>
      </c>
      <c r="F852" t="s">
        <v>12</v>
      </c>
      <c r="G852" s="4">
        <v>-999.33</v>
      </c>
    </row>
    <row r="853" spans="1:7" x14ac:dyDescent="0.35">
      <c r="A853" t="s">
        <v>684</v>
      </c>
      <c r="B853" t="s">
        <v>685</v>
      </c>
      <c r="C853" t="s">
        <v>796</v>
      </c>
      <c r="D853" t="s">
        <v>797</v>
      </c>
      <c r="E853" t="s">
        <v>798</v>
      </c>
      <c r="F853" t="s">
        <v>12</v>
      </c>
      <c r="G853" s="4">
        <v>-153.32</v>
      </c>
    </row>
    <row r="854" spans="1:7" x14ac:dyDescent="0.35">
      <c r="A854" t="s">
        <v>375</v>
      </c>
      <c r="B854" t="s">
        <v>376</v>
      </c>
      <c r="C854" t="s">
        <v>796</v>
      </c>
      <c r="D854" t="s">
        <v>797</v>
      </c>
      <c r="E854" t="s">
        <v>798</v>
      </c>
      <c r="F854" t="s">
        <v>12</v>
      </c>
      <c r="G854" s="4">
        <v>199.57</v>
      </c>
    </row>
    <row r="855" spans="1:7" x14ac:dyDescent="0.35">
      <c r="A855" t="s">
        <v>686</v>
      </c>
      <c r="B855" t="s">
        <v>687</v>
      </c>
      <c r="C855" t="s">
        <v>796</v>
      </c>
      <c r="D855" t="s">
        <v>797</v>
      </c>
      <c r="E855" t="s">
        <v>798</v>
      </c>
      <c r="F855" t="s">
        <v>12</v>
      </c>
      <c r="G855" s="4">
        <v>-437.59</v>
      </c>
    </row>
    <row r="856" spans="1:7" x14ac:dyDescent="0.35">
      <c r="A856" t="s">
        <v>688</v>
      </c>
      <c r="B856" t="s">
        <v>26</v>
      </c>
      <c r="C856" t="s">
        <v>796</v>
      </c>
      <c r="D856" t="s">
        <v>797</v>
      </c>
      <c r="E856" t="s">
        <v>798</v>
      </c>
      <c r="F856" t="s">
        <v>12</v>
      </c>
      <c r="G856" s="4">
        <v>-494.95</v>
      </c>
    </row>
    <row r="857" spans="1:7" x14ac:dyDescent="0.35">
      <c r="A857" t="s">
        <v>689</v>
      </c>
      <c r="B857" t="s">
        <v>690</v>
      </c>
      <c r="C857" t="s">
        <v>796</v>
      </c>
      <c r="D857" t="s">
        <v>797</v>
      </c>
      <c r="E857" t="s">
        <v>798</v>
      </c>
      <c r="F857" t="s">
        <v>12</v>
      </c>
      <c r="G857" s="4">
        <v>-215.37</v>
      </c>
    </row>
    <row r="858" spans="1:7" x14ac:dyDescent="0.35">
      <c r="A858" t="s">
        <v>377</v>
      </c>
      <c r="B858" t="s">
        <v>378</v>
      </c>
      <c r="C858" t="s">
        <v>796</v>
      </c>
      <c r="D858" t="s">
        <v>797</v>
      </c>
      <c r="E858" t="s">
        <v>798</v>
      </c>
      <c r="F858" t="s">
        <v>12</v>
      </c>
      <c r="G858" s="4">
        <v>949.45</v>
      </c>
    </row>
    <row r="859" spans="1:7" x14ac:dyDescent="0.35">
      <c r="A859" t="s">
        <v>379</v>
      </c>
      <c r="B859" t="s">
        <v>286</v>
      </c>
      <c r="C859" t="s">
        <v>796</v>
      </c>
      <c r="D859" t="s">
        <v>797</v>
      </c>
      <c r="E859" t="s">
        <v>798</v>
      </c>
      <c r="F859" t="s">
        <v>12</v>
      </c>
      <c r="G859" s="4">
        <v>806.47</v>
      </c>
    </row>
    <row r="860" spans="1:7" x14ac:dyDescent="0.35">
      <c r="A860" t="s">
        <v>691</v>
      </c>
      <c r="B860" t="s">
        <v>108</v>
      </c>
      <c r="C860" t="s">
        <v>796</v>
      </c>
      <c r="D860" t="s">
        <v>797</v>
      </c>
      <c r="E860" t="s">
        <v>798</v>
      </c>
      <c r="F860" t="s">
        <v>12</v>
      </c>
      <c r="G860" s="4">
        <v>-958.57</v>
      </c>
    </row>
    <row r="861" spans="1:7" x14ac:dyDescent="0.35">
      <c r="A861" t="s">
        <v>380</v>
      </c>
      <c r="B861" t="s">
        <v>223</v>
      </c>
      <c r="C861" t="s">
        <v>796</v>
      </c>
      <c r="D861" t="s">
        <v>797</v>
      </c>
      <c r="E861" t="s">
        <v>798</v>
      </c>
      <c r="F861" t="s">
        <v>12</v>
      </c>
      <c r="G861" s="4">
        <v>593</v>
      </c>
    </row>
    <row r="862" spans="1:7" x14ac:dyDescent="0.35">
      <c r="A862" t="s">
        <v>381</v>
      </c>
      <c r="B862" t="s">
        <v>382</v>
      </c>
      <c r="C862" t="s">
        <v>796</v>
      </c>
      <c r="D862" t="s">
        <v>797</v>
      </c>
      <c r="E862" t="s">
        <v>798</v>
      </c>
      <c r="F862" t="s">
        <v>12</v>
      </c>
      <c r="G862" s="4">
        <v>533.33000000000004</v>
      </c>
    </row>
    <row r="863" spans="1:7" x14ac:dyDescent="0.35">
      <c r="A863" t="s">
        <v>692</v>
      </c>
      <c r="B863" t="s">
        <v>189</v>
      </c>
      <c r="C863" t="s">
        <v>796</v>
      </c>
      <c r="D863" t="s">
        <v>797</v>
      </c>
      <c r="E863" t="s">
        <v>798</v>
      </c>
      <c r="F863" t="s">
        <v>12</v>
      </c>
      <c r="G863" s="4">
        <v>-473.69</v>
      </c>
    </row>
    <row r="864" spans="1:7" x14ac:dyDescent="0.35">
      <c r="A864" t="s">
        <v>693</v>
      </c>
      <c r="B864" t="s">
        <v>198</v>
      </c>
      <c r="C864" t="s">
        <v>796</v>
      </c>
      <c r="D864" t="s">
        <v>797</v>
      </c>
      <c r="E864" t="s">
        <v>798</v>
      </c>
      <c r="F864" t="s">
        <v>12</v>
      </c>
      <c r="G864" s="4">
        <v>-560.44000000000005</v>
      </c>
    </row>
    <row r="865" spans="1:7" x14ac:dyDescent="0.35">
      <c r="A865" t="s">
        <v>694</v>
      </c>
      <c r="B865" t="s">
        <v>158</v>
      </c>
      <c r="C865" t="s">
        <v>796</v>
      </c>
      <c r="D865" t="s">
        <v>797</v>
      </c>
      <c r="E865" t="s">
        <v>798</v>
      </c>
      <c r="F865" t="s">
        <v>12</v>
      </c>
      <c r="G865" s="4">
        <v>-725.34</v>
      </c>
    </row>
    <row r="866" spans="1:7" x14ac:dyDescent="0.35">
      <c r="A866" t="s">
        <v>695</v>
      </c>
      <c r="B866" t="s">
        <v>696</v>
      </c>
      <c r="C866" t="s">
        <v>796</v>
      </c>
      <c r="D866" t="s">
        <v>797</v>
      </c>
      <c r="E866" t="s">
        <v>798</v>
      </c>
      <c r="F866" t="s">
        <v>12</v>
      </c>
      <c r="G866" s="4">
        <v>-439.98</v>
      </c>
    </row>
    <row r="867" spans="1:7" x14ac:dyDescent="0.35">
      <c r="A867" t="s">
        <v>697</v>
      </c>
      <c r="B867" t="s">
        <v>264</v>
      </c>
      <c r="C867" t="s">
        <v>796</v>
      </c>
      <c r="D867" t="s">
        <v>797</v>
      </c>
      <c r="E867" t="s">
        <v>798</v>
      </c>
      <c r="F867" t="s">
        <v>12</v>
      </c>
      <c r="G867" s="4">
        <v>-315.81</v>
      </c>
    </row>
    <row r="868" spans="1:7" x14ac:dyDescent="0.35">
      <c r="A868" t="s">
        <v>698</v>
      </c>
      <c r="B868" t="s">
        <v>79</v>
      </c>
      <c r="C868" t="s">
        <v>796</v>
      </c>
      <c r="D868" t="s">
        <v>797</v>
      </c>
      <c r="E868" t="s">
        <v>798</v>
      </c>
      <c r="F868" t="s">
        <v>12</v>
      </c>
      <c r="G868" s="4">
        <v>-125.63</v>
      </c>
    </row>
    <row r="869" spans="1:7" x14ac:dyDescent="0.35">
      <c r="A869" t="s">
        <v>699</v>
      </c>
      <c r="B869" t="s">
        <v>546</v>
      </c>
      <c r="C869" t="s">
        <v>796</v>
      </c>
      <c r="D869" t="s">
        <v>797</v>
      </c>
      <c r="E869" t="s">
        <v>798</v>
      </c>
      <c r="F869" t="s">
        <v>12</v>
      </c>
      <c r="G869" s="4">
        <v>-591.89</v>
      </c>
    </row>
    <row r="870" spans="1:7" x14ac:dyDescent="0.35">
      <c r="A870" t="s">
        <v>383</v>
      </c>
      <c r="B870" t="s">
        <v>384</v>
      </c>
      <c r="C870" t="s">
        <v>796</v>
      </c>
      <c r="D870" t="s">
        <v>797</v>
      </c>
      <c r="E870" t="s">
        <v>798</v>
      </c>
      <c r="F870" t="s">
        <v>12</v>
      </c>
      <c r="G870" s="4">
        <v>973.19</v>
      </c>
    </row>
    <row r="871" spans="1:7" x14ac:dyDescent="0.35">
      <c r="A871" t="s">
        <v>700</v>
      </c>
      <c r="B871" t="s">
        <v>701</v>
      </c>
      <c r="C871" t="s">
        <v>796</v>
      </c>
      <c r="D871" t="s">
        <v>797</v>
      </c>
      <c r="E871" t="s">
        <v>798</v>
      </c>
      <c r="F871" t="s">
        <v>12</v>
      </c>
      <c r="G871" s="4">
        <v>-385.71</v>
      </c>
    </row>
    <row r="872" spans="1:7" x14ac:dyDescent="0.35">
      <c r="A872" t="s">
        <v>702</v>
      </c>
      <c r="B872" t="s">
        <v>16</v>
      </c>
      <c r="C872" t="s">
        <v>796</v>
      </c>
      <c r="D872" t="s">
        <v>797</v>
      </c>
      <c r="E872" t="s">
        <v>798</v>
      </c>
      <c r="F872" t="s">
        <v>12</v>
      </c>
      <c r="G872" s="4">
        <v>-142.38</v>
      </c>
    </row>
    <row r="873" spans="1:7" x14ac:dyDescent="0.35">
      <c r="A873" t="s">
        <v>703</v>
      </c>
      <c r="B873" t="s">
        <v>384</v>
      </c>
      <c r="C873" t="s">
        <v>796</v>
      </c>
      <c r="D873" t="s">
        <v>797</v>
      </c>
      <c r="E873" t="s">
        <v>798</v>
      </c>
      <c r="F873" t="s">
        <v>12</v>
      </c>
      <c r="G873" s="4">
        <v>-901.62</v>
      </c>
    </row>
    <row r="874" spans="1:7" x14ac:dyDescent="0.35">
      <c r="A874" t="s">
        <v>704</v>
      </c>
      <c r="B874" t="s">
        <v>143</v>
      </c>
      <c r="C874" t="s">
        <v>796</v>
      </c>
      <c r="D874" t="s">
        <v>797</v>
      </c>
      <c r="E874" t="s">
        <v>798</v>
      </c>
      <c r="F874" t="s">
        <v>12</v>
      </c>
      <c r="G874" s="4">
        <v>-798.21</v>
      </c>
    </row>
    <row r="875" spans="1:7" x14ac:dyDescent="0.35">
      <c r="A875" t="s">
        <v>705</v>
      </c>
      <c r="B875" t="s">
        <v>706</v>
      </c>
      <c r="C875" t="s">
        <v>796</v>
      </c>
      <c r="D875" t="s">
        <v>797</v>
      </c>
      <c r="E875" t="s">
        <v>798</v>
      </c>
      <c r="F875" t="s">
        <v>12</v>
      </c>
      <c r="G875" s="4">
        <v>-534.30999999999995</v>
      </c>
    </row>
    <row r="876" spans="1:7" x14ac:dyDescent="0.35">
      <c r="A876" t="s">
        <v>385</v>
      </c>
      <c r="B876" t="s">
        <v>328</v>
      </c>
      <c r="C876" t="s">
        <v>796</v>
      </c>
      <c r="D876" t="s">
        <v>797</v>
      </c>
      <c r="E876" t="s">
        <v>798</v>
      </c>
      <c r="F876" t="s">
        <v>12</v>
      </c>
      <c r="G876" s="4">
        <v>533.78</v>
      </c>
    </row>
    <row r="877" spans="1:7" x14ac:dyDescent="0.35">
      <c r="A877" t="s">
        <v>707</v>
      </c>
      <c r="B877" t="s">
        <v>251</v>
      </c>
      <c r="C877" t="s">
        <v>796</v>
      </c>
      <c r="D877" t="s">
        <v>797</v>
      </c>
      <c r="E877" t="s">
        <v>798</v>
      </c>
      <c r="F877" t="s">
        <v>12</v>
      </c>
      <c r="G877" s="4">
        <v>-286.58999999999997</v>
      </c>
    </row>
    <row r="878" spans="1:7" x14ac:dyDescent="0.35">
      <c r="A878" t="s">
        <v>386</v>
      </c>
      <c r="B878" t="s">
        <v>83</v>
      </c>
      <c r="C878" t="s">
        <v>796</v>
      </c>
      <c r="D878" t="s">
        <v>797</v>
      </c>
      <c r="E878" t="s">
        <v>798</v>
      </c>
      <c r="F878" t="s">
        <v>12</v>
      </c>
      <c r="G878" s="4">
        <v>966.68</v>
      </c>
    </row>
    <row r="879" spans="1:7" x14ac:dyDescent="0.35">
      <c r="A879" t="s">
        <v>708</v>
      </c>
      <c r="B879" t="s">
        <v>709</v>
      </c>
      <c r="C879" t="s">
        <v>796</v>
      </c>
      <c r="D879" t="s">
        <v>797</v>
      </c>
      <c r="E879" t="s">
        <v>798</v>
      </c>
      <c r="F879" t="s">
        <v>12</v>
      </c>
      <c r="G879" s="4">
        <v>-785.96</v>
      </c>
    </row>
    <row r="880" spans="1:7" x14ac:dyDescent="0.35">
      <c r="A880" t="s">
        <v>387</v>
      </c>
      <c r="B880" t="s">
        <v>284</v>
      </c>
      <c r="C880" t="s">
        <v>796</v>
      </c>
      <c r="D880" t="s">
        <v>797</v>
      </c>
      <c r="E880" t="s">
        <v>798</v>
      </c>
      <c r="F880" t="s">
        <v>12</v>
      </c>
      <c r="G880" s="4">
        <v>530.64</v>
      </c>
    </row>
    <row r="881" spans="1:7" x14ac:dyDescent="0.35">
      <c r="A881" t="s">
        <v>710</v>
      </c>
      <c r="B881" t="s">
        <v>711</v>
      </c>
      <c r="C881" t="s">
        <v>796</v>
      </c>
      <c r="D881" t="s">
        <v>797</v>
      </c>
      <c r="E881" t="s">
        <v>798</v>
      </c>
      <c r="F881" t="s">
        <v>12</v>
      </c>
      <c r="G881" s="4">
        <v>-720.9</v>
      </c>
    </row>
    <row r="882" spans="1:7" x14ac:dyDescent="0.35">
      <c r="A882" t="s">
        <v>388</v>
      </c>
      <c r="B882" t="s">
        <v>389</v>
      </c>
      <c r="C882" t="s">
        <v>796</v>
      </c>
      <c r="D882" t="s">
        <v>797</v>
      </c>
      <c r="E882" t="s">
        <v>798</v>
      </c>
      <c r="F882" t="s">
        <v>12</v>
      </c>
      <c r="G882" s="4">
        <v>440.06</v>
      </c>
    </row>
    <row r="883" spans="1:7" x14ac:dyDescent="0.35">
      <c r="A883" t="s">
        <v>712</v>
      </c>
      <c r="B883" t="s">
        <v>239</v>
      </c>
      <c r="C883" t="s">
        <v>796</v>
      </c>
      <c r="D883" t="s">
        <v>797</v>
      </c>
      <c r="E883" t="s">
        <v>798</v>
      </c>
      <c r="F883" t="s">
        <v>12</v>
      </c>
      <c r="G883" s="4">
        <v>-265.64999999999998</v>
      </c>
    </row>
    <row r="884" spans="1:7" x14ac:dyDescent="0.35">
      <c r="A884" t="s">
        <v>713</v>
      </c>
      <c r="B884" t="s">
        <v>244</v>
      </c>
      <c r="C884" t="s">
        <v>796</v>
      </c>
      <c r="D884" t="s">
        <v>797</v>
      </c>
      <c r="E884" t="s">
        <v>798</v>
      </c>
      <c r="F884" t="s">
        <v>12</v>
      </c>
      <c r="G884" s="4">
        <v>-920.5</v>
      </c>
    </row>
    <row r="885" spans="1:7" x14ac:dyDescent="0.35">
      <c r="A885" t="s">
        <v>714</v>
      </c>
      <c r="B885" t="s">
        <v>246</v>
      </c>
      <c r="C885" t="s">
        <v>796</v>
      </c>
      <c r="D885" t="s">
        <v>797</v>
      </c>
      <c r="E885" t="s">
        <v>798</v>
      </c>
      <c r="F885" t="s">
        <v>12</v>
      </c>
      <c r="G885" s="4">
        <v>-338.48</v>
      </c>
    </row>
    <row r="886" spans="1:7" x14ac:dyDescent="0.35">
      <c r="A886" t="s">
        <v>715</v>
      </c>
      <c r="B886" t="s">
        <v>529</v>
      </c>
      <c r="C886" t="s">
        <v>796</v>
      </c>
      <c r="D886" t="s">
        <v>797</v>
      </c>
      <c r="E886" t="s">
        <v>798</v>
      </c>
      <c r="F886" t="s">
        <v>12</v>
      </c>
      <c r="G886" s="4">
        <v>-669.33</v>
      </c>
    </row>
    <row r="887" spans="1:7" x14ac:dyDescent="0.35">
      <c r="A887" t="s">
        <v>390</v>
      </c>
      <c r="B887" t="s">
        <v>391</v>
      </c>
      <c r="C887" t="s">
        <v>796</v>
      </c>
      <c r="D887" t="s">
        <v>797</v>
      </c>
      <c r="E887" t="s">
        <v>798</v>
      </c>
      <c r="F887" t="s">
        <v>12</v>
      </c>
      <c r="G887" s="4">
        <v>242.36</v>
      </c>
    </row>
    <row r="888" spans="1:7" x14ac:dyDescent="0.35">
      <c r="A888" t="s">
        <v>716</v>
      </c>
      <c r="B888" t="s">
        <v>20</v>
      </c>
      <c r="C888" t="s">
        <v>796</v>
      </c>
      <c r="D888" t="s">
        <v>797</v>
      </c>
      <c r="E888" t="s">
        <v>798</v>
      </c>
      <c r="F888" t="s">
        <v>12</v>
      </c>
      <c r="G888" s="4">
        <v>-823.98</v>
      </c>
    </row>
    <row r="889" spans="1:7" x14ac:dyDescent="0.35">
      <c r="A889" t="s">
        <v>392</v>
      </c>
      <c r="B889" t="s">
        <v>18</v>
      </c>
      <c r="C889" t="s">
        <v>796</v>
      </c>
      <c r="D889" t="s">
        <v>797</v>
      </c>
      <c r="E889" t="s">
        <v>798</v>
      </c>
      <c r="F889" t="s">
        <v>12</v>
      </c>
      <c r="G889" s="4">
        <v>285.76</v>
      </c>
    </row>
    <row r="890" spans="1:7" x14ac:dyDescent="0.35">
      <c r="A890" t="s">
        <v>717</v>
      </c>
      <c r="B890" t="s">
        <v>488</v>
      </c>
      <c r="C890" t="s">
        <v>796</v>
      </c>
      <c r="D890" t="s">
        <v>797</v>
      </c>
      <c r="E890" t="s">
        <v>798</v>
      </c>
      <c r="F890" t="s">
        <v>12</v>
      </c>
      <c r="G890" s="4">
        <v>-734.82</v>
      </c>
    </row>
    <row r="891" spans="1:7" x14ac:dyDescent="0.35">
      <c r="A891" t="s">
        <v>718</v>
      </c>
      <c r="B891" t="s">
        <v>428</v>
      </c>
      <c r="C891" t="s">
        <v>796</v>
      </c>
      <c r="D891" t="s">
        <v>797</v>
      </c>
      <c r="E891" t="s">
        <v>798</v>
      </c>
      <c r="F891" t="s">
        <v>12</v>
      </c>
      <c r="G891" s="4">
        <v>-936.97</v>
      </c>
    </row>
    <row r="892" spans="1:7" x14ac:dyDescent="0.35">
      <c r="A892" t="s">
        <v>393</v>
      </c>
      <c r="B892" t="s">
        <v>394</v>
      </c>
      <c r="C892" t="s">
        <v>796</v>
      </c>
      <c r="D892" t="s">
        <v>797</v>
      </c>
      <c r="E892" t="s">
        <v>798</v>
      </c>
      <c r="F892" t="s">
        <v>12</v>
      </c>
      <c r="G892" s="4">
        <v>193.87</v>
      </c>
    </row>
    <row r="893" spans="1:7" x14ac:dyDescent="0.35">
      <c r="A893" t="s">
        <v>719</v>
      </c>
      <c r="B893" t="s">
        <v>620</v>
      </c>
      <c r="C893" t="s">
        <v>796</v>
      </c>
      <c r="D893" t="s">
        <v>797</v>
      </c>
      <c r="E893" t="s">
        <v>798</v>
      </c>
      <c r="F893" t="s">
        <v>12</v>
      </c>
      <c r="G893" s="4">
        <v>-718.41</v>
      </c>
    </row>
    <row r="894" spans="1:7" x14ac:dyDescent="0.35">
      <c r="A894" t="s">
        <v>395</v>
      </c>
      <c r="B894" t="s">
        <v>396</v>
      </c>
      <c r="C894" t="s">
        <v>796</v>
      </c>
      <c r="D894" t="s">
        <v>797</v>
      </c>
      <c r="E894" t="s">
        <v>798</v>
      </c>
      <c r="F894" t="s">
        <v>12</v>
      </c>
      <c r="G894" s="4">
        <v>831.38</v>
      </c>
    </row>
    <row r="895" spans="1:7" x14ac:dyDescent="0.35">
      <c r="A895" t="s">
        <v>397</v>
      </c>
      <c r="B895" t="s">
        <v>328</v>
      </c>
      <c r="C895" t="s">
        <v>796</v>
      </c>
      <c r="D895" t="s">
        <v>797</v>
      </c>
      <c r="E895" t="s">
        <v>798</v>
      </c>
      <c r="F895" t="s">
        <v>12</v>
      </c>
      <c r="G895" s="4">
        <v>299.12</v>
      </c>
    </row>
    <row r="896" spans="1:7" x14ac:dyDescent="0.35">
      <c r="A896" t="s">
        <v>720</v>
      </c>
      <c r="B896" t="s">
        <v>89</v>
      </c>
      <c r="C896" t="s">
        <v>796</v>
      </c>
      <c r="D896" t="s">
        <v>797</v>
      </c>
      <c r="E896" t="s">
        <v>798</v>
      </c>
      <c r="F896" t="s">
        <v>12</v>
      </c>
      <c r="G896" s="4">
        <v>-833.47</v>
      </c>
    </row>
    <row r="897" spans="1:7" x14ac:dyDescent="0.35">
      <c r="A897" t="s">
        <v>721</v>
      </c>
      <c r="B897" t="s">
        <v>391</v>
      </c>
      <c r="C897" t="s">
        <v>796</v>
      </c>
      <c r="D897" t="s">
        <v>797</v>
      </c>
      <c r="E897" t="s">
        <v>798</v>
      </c>
      <c r="F897" t="s">
        <v>12</v>
      </c>
      <c r="G897" s="4">
        <v>-390.71</v>
      </c>
    </row>
    <row r="898" spans="1:7" x14ac:dyDescent="0.35">
      <c r="A898" t="s">
        <v>722</v>
      </c>
      <c r="B898" t="s">
        <v>209</v>
      </c>
      <c r="C898" t="s">
        <v>796</v>
      </c>
      <c r="D898" t="s">
        <v>797</v>
      </c>
      <c r="E898" t="s">
        <v>798</v>
      </c>
      <c r="F898" t="s">
        <v>12</v>
      </c>
      <c r="G898" s="4">
        <v>-433.65</v>
      </c>
    </row>
    <row r="899" spans="1:7" x14ac:dyDescent="0.35">
      <c r="A899" t="s">
        <v>723</v>
      </c>
      <c r="B899" t="s">
        <v>131</v>
      </c>
      <c r="C899" t="s">
        <v>796</v>
      </c>
      <c r="D899" t="s">
        <v>797</v>
      </c>
      <c r="E899" t="s">
        <v>798</v>
      </c>
      <c r="F899" t="s">
        <v>12</v>
      </c>
      <c r="G899" s="4">
        <v>-126.51</v>
      </c>
    </row>
    <row r="900" spans="1:7" x14ac:dyDescent="0.35">
      <c r="A900" t="s">
        <v>398</v>
      </c>
      <c r="B900" t="s">
        <v>49</v>
      </c>
      <c r="C900" t="s">
        <v>796</v>
      </c>
      <c r="D900" t="s">
        <v>797</v>
      </c>
      <c r="E900" t="s">
        <v>798</v>
      </c>
      <c r="F900" t="s">
        <v>12</v>
      </c>
      <c r="G900" s="4">
        <v>610.33000000000004</v>
      </c>
    </row>
    <row r="901" spans="1:7" x14ac:dyDescent="0.35">
      <c r="A901" t="s">
        <v>724</v>
      </c>
      <c r="B901" t="s">
        <v>408</v>
      </c>
      <c r="C901" t="s">
        <v>796</v>
      </c>
      <c r="D901" t="s">
        <v>797</v>
      </c>
      <c r="E901" t="s">
        <v>798</v>
      </c>
      <c r="F901" t="s">
        <v>12</v>
      </c>
      <c r="G901" s="4">
        <v>-844.44</v>
      </c>
    </row>
    <row r="902" spans="1:7" x14ac:dyDescent="0.35">
      <c r="A902" t="s">
        <v>399</v>
      </c>
      <c r="B902" t="s">
        <v>112</v>
      </c>
      <c r="C902" t="s">
        <v>796</v>
      </c>
      <c r="D902" t="s">
        <v>797</v>
      </c>
      <c r="E902" t="s">
        <v>798</v>
      </c>
      <c r="F902" t="s">
        <v>12</v>
      </c>
      <c r="G902" s="4">
        <v>942.6</v>
      </c>
    </row>
    <row r="903" spans="1:7" x14ac:dyDescent="0.35">
      <c r="A903" t="s">
        <v>400</v>
      </c>
      <c r="B903" t="s">
        <v>401</v>
      </c>
      <c r="C903" t="s">
        <v>796</v>
      </c>
      <c r="D903" t="s">
        <v>797</v>
      </c>
      <c r="E903" t="s">
        <v>798</v>
      </c>
      <c r="F903" t="s">
        <v>12</v>
      </c>
      <c r="G903" s="4">
        <v>930.28</v>
      </c>
    </row>
    <row r="904" spans="1:7" x14ac:dyDescent="0.35">
      <c r="A904" t="s">
        <v>725</v>
      </c>
      <c r="B904" t="s">
        <v>588</v>
      </c>
      <c r="C904" t="s">
        <v>796</v>
      </c>
      <c r="D904" t="s">
        <v>797</v>
      </c>
      <c r="E904" t="s">
        <v>798</v>
      </c>
      <c r="F904" t="s">
        <v>12</v>
      </c>
      <c r="G904" s="4">
        <v>-924.94</v>
      </c>
    </row>
    <row r="905" spans="1:7" x14ac:dyDescent="0.35">
      <c r="A905" t="s">
        <v>402</v>
      </c>
      <c r="B905" t="s">
        <v>403</v>
      </c>
      <c r="C905" t="s">
        <v>796</v>
      </c>
      <c r="D905" t="s">
        <v>797</v>
      </c>
      <c r="E905" t="s">
        <v>798</v>
      </c>
      <c r="F905" t="s">
        <v>12</v>
      </c>
      <c r="G905" s="4">
        <v>214.02</v>
      </c>
    </row>
    <row r="906" spans="1:7" x14ac:dyDescent="0.35">
      <c r="A906" t="s">
        <v>726</v>
      </c>
      <c r="B906" t="s">
        <v>311</v>
      </c>
      <c r="C906" t="s">
        <v>796</v>
      </c>
      <c r="D906" t="s">
        <v>797</v>
      </c>
      <c r="E906" t="s">
        <v>798</v>
      </c>
      <c r="F906" t="s">
        <v>12</v>
      </c>
      <c r="G906" s="4">
        <v>-340.69</v>
      </c>
    </row>
    <row r="907" spans="1:7" x14ac:dyDescent="0.35">
      <c r="A907" t="s">
        <v>727</v>
      </c>
      <c r="B907" t="s">
        <v>261</v>
      </c>
      <c r="C907" t="s">
        <v>796</v>
      </c>
      <c r="D907" t="s">
        <v>797</v>
      </c>
      <c r="E907" t="s">
        <v>798</v>
      </c>
      <c r="F907" t="s">
        <v>12</v>
      </c>
      <c r="G907" s="4">
        <v>-179.16</v>
      </c>
    </row>
    <row r="908" spans="1:7" x14ac:dyDescent="0.35">
      <c r="A908" t="s">
        <v>728</v>
      </c>
      <c r="B908" t="s">
        <v>463</v>
      </c>
      <c r="C908" t="s">
        <v>796</v>
      </c>
      <c r="D908" t="s">
        <v>797</v>
      </c>
      <c r="E908" t="s">
        <v>798</v>
      </c>
      <c r="F908" t="s">
        <v>12</v>
      </c>
      <c r="G908" s="4">
        <v>-136.91999999999999</v>
      </c>
    </row>
    <row r="909" spans="1:7" x14ac:dyDescent="0.35">
      <c r="A909" t="s">
        <v>729</v>
      </c>
      <c r="B909" t="s">
        <v>459</v>
      </c>
      <c r="C909" t="s">
        <v>796</v>
      </c>
      <c r="D909" t="s">
        <v>797</v>
      </c>
      <c r="E909" t="s">
        <v>798</v>
      </c>
      <c r="F909" t="s">
        <v>12</v>
      </c>
      <c r="G909" s="4">
        <v>-728.91</v>
      </c>
    </row>
    <row r="910" spans="1:7" x14ac:dyDescent="0.35">
      <c r="A910" t="s">
        <v>730</v>
      </c>
      <c r="B910" t="s">
        <v>731</v>
      </c>
      <c r="C910" t="s">
        <v>796</v>
      </c>
      <c r="D910" t="s">
        <v>797</v>
      </c>
      <c r="E910" t="s">
        <v>798</v>
      </c>
      <c r="F910" t="s">
        <v>12</v>
      </c>
      <c r="G910" s="4">
        <v>-413.24</v>
      </c>
    </row>
    <row r="911" spans="1:7" x14ac:dyDescent="0.35">
      <c r="A911" t="s">
        <v>732</v>
      </c>
      <c r="B911" t="s">
        <v>302</v>
      </c>
      <c r="C911" t="s">
        <v>796</v>
      </c>
      <c r="D911" t="s">
        <v>797</v>
      </c>
      <c r="E911" t="s">
        <v>798</v>
      </c>
      <c r="F911" t="s">
        <v>12</v>
      </c>
      <c r="G911" s="4">
        <v>-307.74</v>
      </c>
    </row>
    <row r="912" spans="1:7" x14ac:dyDescent="0.35">
      <c r="A912" t="s">
        <v>733</v>
      </c>
      <c r="B912" t="s">
        <v>389</v>
      </c>
      <c r="C912" t="s">
        <v>796</v>
      </c>
      <c r="D912" t="s">
        <v>797</v>
      </c>
      <c r="E912" t="s">
        <v>798</v>
      </c>
      <c r="F912" t="s">
        <v>12</v>
      </c>
      <c r="G912" s="4">
        <v>-719.7</v>
      </c>
    </row>
    <row r="913" spans="1:7" x14ac:dyDescent="0.35">
      <c r="A913" t="s">
        <v>734</v>
      </c>
      <c r="B913" t="s">
        <v>77</v>
      </c>
      <c r="C913" t="s">
        <v>796</v>
      </c>
      <c r="D913" t="s">
        <v>797</v>
      </c>
      <c r="E913" t="s">
        <v>798</v>
      </c>
      <c r="F913" t="s">
        <v>12</v>
      </c>
      <c r="G913" s="4">
        <v>-277.57</v>
      </c>
    </row>
    <row r="914" spans="1:7" x14ac:dyDescent="0.35">
      <c r="A914" t="s">
        <v>404</v>
      </c>
      <c r="B914" t="s">
        <v>275</v>
      </c>
      <c r="C914" t="s">
        <v>796</v>
      </c>
      <c r="D914" t="s">
        <v>797</v>
      </c>
      <c r="E914" t="s">
        <v>798</v>
      </c>
      <c r="F914" t="s">
        <v>12</v>
      </c>
      <c r="G914" s="4">
        <v>506.47</v>
      </c>
    </row>
    <row r="915" spans="1:7" x14ac:dyDescent="0.35">
      <c r="A915" t="s">
        <v>735</v>
      </c>
      <c r="B915" t="s">
        <v>736</v>
      </c>
      <c r="C915" t="s">
        <v>796</v>
      </c>
      <c r="D915" t="s">
        <v>797</v>
      </c>
      <c r="E915" t="s">
        <v>798</v>
      </c>
      <c r="F915" t="s">
        <v>12</v>
      </c>
      <c r="G915" s="4">
        <v>-815.06</v>
      </c>
    </row>
    <row r="916" spans="1:7" x14ac:dyDescent="0.35">
      <c r="A916" t="s">
        <v>405</v>
      </c>
      <c r="B916" t="s">
        <v>249</v>
      </c>
      <c r="C916" t="s">
        <v>796</v>
      </c>
      <c r="D916" t="s">
        <v>797</v>
      </c>
      <c r="E916" t="s">
        <v>798</v>
      </c>
      <c r="F916" t="s">
        <v>12</v>
      </c>
      <c r="G916" s="4">
        <v>131.4</v>
      </c>
    </row>
    <row r="917" spans="1:7" x14ac:dyDescent="0.35">
      <c r="A917" t="s">
        <v>737</v>
      </c>
      <c r="B917" t="s">
        <v>542</v>
      </c>
      <c r="C917" t="s">
        <v>796</v>
      </c>
      <c r="D917" t="s">
        <v>797</v>
      </c>
      <c r="E917" t="s">
        <v>798</v>
      </c>
      <c r="F917" t="s">
        <v>12</v>
      </c>
      <c r="G917" s="4">
        <v>-844.51</v>
      </c>
    </row>
    <row r="918" spans="1:7" x14ac:dyDescent="0.35">
      <c r="A918" t="s">
        <v>738</v>
      </c>
      <c r="B918" t="s">
        <v>739</v>
      </c>
      <c r="C918" t="s">
        <v>796</v>
      </c>
      <c r="D918" t="s">
        <v>797</v>
      </c>
      <c r="E918" t="s">
        <v>798</v>
      </c>
      <c r="F918" t="s">
        <v>12</v>
      </c>
      <c r="G918" s="4">
        <v>-451.28</v>
      </c>
    </row>
    <row r="919" spans="1:7" x14ac:dyDescent="0.35">
      <c r="A919" t="s">
        <v>406</v>
      </c>
      <c r="B919" t="s">
        <v>403</v>
      </c>
      <c r="C919" t="s">
        <v>796</v>
      </c>
      <c r="D919" t="s">
        <v>797</v>
      </c>
      <c r="E919" t="s">
        <v>798</v>
      </c>
      <c r="F919" t="s">
        <v>12</v>
      </c>
      <c r="G919" s="4">
        <v>346.43</v>
      </c>
    </row>
    <row r="920" spans="1:7" x14ac:dyDescent="0.35">
      <c r="A920" t="s">
        <v>407</v>
      </c>
      <c r="B920" t="s">
        <v>408</v>
      </c>
      <c r="C920" t="s">
        <v>796</v>
      </c>
      <c r="D920" t="s">
        <v>797</v>
      </c>
      <c r="E920" t="s">
        <v>798</v>
      </c>
      <c r="F920" t="s">
        <v>12</v>
      </c>
      <c r="G920" s="4">
        <v>290.8</v>
      </c>
    </row>
    <row r="921" spans="1:7" x14ac:dyDescent="0.35">
      <c r="A921" t="s">
        <v>740</v>
      </c>
      <c r="B921" t="s">
        <v>676</v>
      </c>
      <c r="C921" t="s">
        <v>796</v>
      </c>
      <c r="D921" t="s">
        <v>797</v>
      </c>
      <c r="E921" t="s">
        <v>798</v>
      </c>
      <c r="F921" t="s">
        <v>12</v>
      </c>
      <c r="G921" s="4">
        <v>-654.51</v>
      </c>
    </row>
    <row r="922" spans="1:7" x14ac:dyDescent="0.35">
      <c r="A922" t="s">
        <v>409</v>
      </c>
      <c r="B922" t="s">
        <v>233</v>
      </c>
      <c r="C922" t="s">
        <v>796</v>
      </c>
      <c r="D922" t="s">
        <v>797</v>
      </c>
      <c r="E922" t="s">
        <v>798</v>
      </c>
      <c r="F922" t="s">
        <v>12</v>
      </c>
      <c r="G922" s="4">
        <v>708.6</v>
      </c>
    </row>
    <row r="923" spans="1:7" x14ac:dyDescent="0.35">
      <c r="A923" t="s">
        <v>741</v>
      </c>
      <c r="B923" t="s">
        <v>742</v>
      </c>
      <c r="C923" t="s">
        <v>796</v>
      </c>
      <c r="D923" t="s">
        <v>797</v>
      </c>
      <c r="E923" t="s">
        <v>798</v>
      </c>
      <c r="F923" t="s">
        <v>12</v>
      </c>
      <c r="G923" s="4">
        <v>-648.14</v>
      </c>
    </row>
    <row r="924" spans="1:7" x14ac:dyDescent="0.35">
      <c r="A924" t="s">
        <v>743</v>
      </c>
      <c r="B924" t="s">
        <v>279</v>
      </c>
      <c r="C924" t="s">
        <v>796</v>
      </c>
      <c r="D924" t="s">
        <v>797</v>
      </c>
      <c r="E924" t="s">
        <v>798</v>
      </c>
      <c r="F924" t="s">
        <v>12</v>
      </c>
      <c r="G924" s="4">
        <v>-298.94</v>
      </c>
    </row>
    <row r="925" spans="1:7" x14ac:dyDescent="0.35">
      <c r="A925" t="s">
        <v>410</v>
      </c>
      <c r="B925" t="s">
        <v>411</v>
      </c>
      <c r="C925" t="s">
        <v>796</v>
      </c>
      <c r="D925" t="s">
        <v>797</v>
      </c>
      <c r="E925" t="s">
        <v>798</v>
      </c>
      <c r="F925" t="s">
        <v>12</v>
      </c>
      <c r="G925" s="4">
        <v>767.02</v>
      </c>
    </row>
    <row r="926" spans="1:7" x14ac:dyDescent="0.35">
      <c r="A926" t="s">
        <v>744</v>
      </c>
      <c r="B926" t="s">
        <v>219</v>
      </c>
      <c r="C926" t="s">
        <v>796</v>
      </c>
      <c r="D926" t="s">
        <v>797</v>
      </c>
      <c r="E926" t="s">
        <v>798</v>
      </c>
      <c r="F926" t="s">
        <v>12</v>
      </c>
      <c r="G926" s="4">
        <v>-890.37</v>
      </c>
    </row>
    <row r="927" spans="1:7" x14ac:dyDescent="0.35">
      <c r="A927" t="s">
        <v>412</v>
      </c>
      <c r="B927" t="s">
        <v>413</v>
      </c>
      <c r="C927" t="s">
        <v>796</v>
      </c>
      <c r="D927" t="s">
        <v>797</v>
      </c>
      <c r="E927" t="s">
        <v>798</v>
      </c>
      <c r="F927" t="s">
        <v>12</v>
      </c>
      <c r="G927" s="4">
        <v>468.48</v>
      </c>
    </row>
    <row r="928" spans="1:7" x14ac:dyDescent="0.35">
      <c r="A928" t="s">
        <v>414</v>
      </c>
      <c r="B928" t="s">
        <v>415</v>
      </c>
      <c r="C928" t="s">
        <v>796</v>
      </c>
      <c r="D928" t="s">
        <v>797</v>
      </c>
      <c r="E928" t="s">
        <v>798</v>
      </c>
      <c r="F928" t="s">
        <v>12</v>
      </c>
      <c r="G928" s="4">
        <v>362.69</v>
      </c>
    </row>
    <row r="929" spans="1:7" x14ac:dyDescent="0.35">
      <c r="A929" t="s">
        <v>416</v>
      </c>
      <c r="B929" t="s">
        <v>417</v>
      </c>
      <c r="C929" t="s">
        <v>796</v>
      </c>
      <c r="D929" t="s">
        <v>797</v>
      </c>
      <c r="E929" t="s">
        <v>798</v>
      </c>
      <c r="F929" t="s">
        <v>12</v>
      </c>
      <c r="G929" s="4">
        <v>266.76</v>
      </c>
    </row>
    <row r="930" spans="1:7" x14ac:dyDescent="0.35">
      <c r="A930" t="s">
        <v>418</v>
      </c>
      <c r="B930" t="s">
        <v>219</v>
      </c>
      <c r="C930" t="s">
        <v>796</v>
      </c>
      <c r="D930" t="s">
        <v>797</v>
      </c>
      <c r="E930" t="s">
        <v>798</v>
      </c>
      <c r="F930" t="s">
        <v>12</v>
      </c>
      <c r="G930" s="4">
        <v>639.79</v>
      </c>
    </row>
    <row r="931" spans="1:7" x14ac:dyDescent="0.35">
      <c r="A931" t="s">
        <v>419</v>
      </c>
      <c r="B931" t="s">
        <v>420</v>
      </c>
      <c r="C931" t="s">
        <v>796</v>
      </c>
      <c r="D931" t="s">
        <v>797</v>
      </c>
      <c r="E931" t="s">
        <v>798</v>
      </c>
      <c r="F931" t="s">
        <v>12</v>
      </c>
      <c r="G931" s="4">
        <v>373.17</v>
      </c>
    </row>
    <row r="932" spans="1:7" x14ac:dyDescent="0.35">
      <c r="A932" t="s">
        <v>745</v>
      </c>
      <c r="B932" t="s">
        <v>42</v>
      </c>
      <c r="C932" t="s">
        <v>796</v>
      </c>
      <c r="D932" t="s">
        <v>797</v>
      </c>
      <c r="E932" t="s">
        <v>798</v>
      </c>
      <c r="F932" t="s">
        <v>12</v>
      </c>
      <c r="G932" s="4">
        <v>-239.05</v>
      </c>
    </row>
    <row r="933" spans="1:7" x14ac:dyDescent="0.35">
      <c r="A933" t="s">
        <v>421</v>
      </c>
      <c r="B933" t="s">
        <v>422</v>
      </c>
      <c r="C933" t="s">
        <v>796</v>
      </c>
      <c r="D933" t="s">
        <v>797</v>
      </c>
      <c r="E933" t="s">
        <v>798</v>
      </c>
      <c r="F933" t="s">
        <v>12</v>
      </c>
      <c r="G933" s="4">
        <v>217.55</v>
      </c>
    </row>
    <row r="934" spans="1:7" x14ac:dyDescent="0.35">
      <c r="A934" t="s">
        <v>423</v>
      </c>
      <c r="B934" t="s">
        <v>424</v>
      </c>
      <c r="C934" t="s">
        <v>796</v>
      </c>
      <c r="D934" t="s">
        <v>797</v>
      </c>
      <c r="E934" t="s">
        <v>798</v>
      </c>
      <c r="F934" t="s">
        <v>12</v>
      </c>
      <c r="G934" s="4">
        <v>483.43</v>
      </c>
    </row>
    <row r="935" spans="1:7" x14ac:dyDescent="0.35">
      <c r="A935" t="s">
        <v>746</v>
      </c>
      <c r="B935" t="s">
        <v>546</v>
      </c>
      <c r="C935" t="s">
        <v>796</v>
      </c>
      <c r="D935" t="s">
        <v>797</v>
      </c>
      <c r="E935" t="s">
        <v>798</v>
      </c>
      <c r="F935" t="s">
        <v>12</v>
      </c>
      <c r="G935" s="4">
        <v>-686.13</v>
      </c>
    </row>
    <row r="936" spans="1:7" x14ac:dyDescent="0.35">
      <c r="A936" t="s">
        <v>747</v>
      </c>
      <c r="B936" t="s">
        <v>748</v>
      </c>
      <c r="C936" t="s">
        <v>796</v>
      </c>
      <c r="D936" t="s">
        <v>797</v>
      </c>
      <c r="E936" t="s">
        <v>798</v>
      </c>
      <c r="F936" t="s">
        <v>12</v>
      </c>
      <c r="G936" s="4">
        <v>-952.91</v>
      </c>
    </row>
    <row r="937" spans="1:7" x14ac:dyDescent="0.35">
      <c r="A937" t="s">
        <v>749</v>
      </c>
      <c r="B937" t="s">
        <v>554</v>
      </c>
      <c r="C937" t="s">
        <v>796</v>
      </c>
      <c r="D937" t="s">
        <v>797</v>
      </c>
      <c r="E937" t="s">
        <v>798</v>
      </c>
      <c r="F937" t="s">
        <v>12</v>
      </c>
      <c r="G937" s="4">
        <v>-955.99</v>
      </c>
    </row>
    <row r="938" spans="1:7" x14ac:dyDescent="0.35">
      <c r="A938" t="s">
        <v>425</v>
      </c>
      <c r="B938" t="s">
        <v>426</v>
      </c>
      <c r="C938" t="s">
        <v>796</v>
      </c>
      <c r="D938" t="s">
        <v>797</v>
      </c>
      <c r="E938" t="s">
        <v>798</v>
      </c>
      <c r="F938" t="s">
        <v>12</v>
      </c>
      <c r="G938" s="4">
        <v>744.71</v>
      </c>
    </row>
    <row r="939" spans="1:7" x14ac:dyDescent="0.35">
      <c r="A939" t="s">
        <v>427</v>
      </c>
      <c r="B939" t="s">
        <v>428</v>
      </c>
      <c r="C939" t="s">
        <v>796</v>
      </c>
      <c r="D939" t="s">
        <v>797</v>
      </c>
      <c r="E939" t="s">
        <v>798</v>
      </c>
      <c r="F939" t="s">
        <v>12</v>
      </c>
      <c r="G939" s="4">
        <v>497.84</v>
      </c>
    </row>
    <row r="940" spans="1:7" x14ac:dyDescent="0.35">
      <c r="A940" t="s">
        <v>750</v>
      </c>
      <c r="B940" t="s">
        <v>690</v>
      </c>
      <c r="C940" t="s">
        <v>796</v>
      </c>
      <c r="D940" t="s">
        <v>797</v>
      </c>
      <c r="E940" t="s">
        <v>798</v>
      </c>
      <c r="F940" t="s">
        <v>12</v>
      </c>
      <c r="G940" s="4">
        <v>-970.94</v>
      </c>
    </row>
    <row r="941" spans="1:7" x14ac:dyDescent="0.35">
      <c r="A941" t="s">
        <v>751</v>
      </c>
      <c r="B941" t="s">
        <v>752</v>
      </c>
      <c r="C941" t="s">
        <v>796</v>
      </c>
      <c r="D941" t="s">
        <v>797</v>
      </c>
      <c r="E941" t="s">
        <v>798</v>
      </c>
      <c r="F941" t="s">
        <v>12</v>
      </c>
      <c r="G941" s="4">
        <v>-705.87</v>
      </c>
    </row>
    <row r="942" spans="1:7" x14ac:dyDescent="0.35">
      <c r="A942" t="s">
        <v>753</v>
      </c>
      <c r="B942" t="s">
        <v>488</v>
      </c>
      <c r="C942" t="s">
        <v>796</v>
      </c>
      <c r="D942" t="s">
        <v>797</v>
      </c>
      <c r="E942" t="s">
        <v>798</v>
      </c>
      <c r="F942" t="s">
        <v>12</v>
      </c>
      <c r="G942" s="4">
        <v>-135.47999999999999</v>
      </c>
    </row>
    <row r="943" spans="1:7" x14ac:dyDescent="0.35">
      <c r="A943" t="s">
        <v>429</v>
      </c>
      <c r="B943" t="s">
        <v>314</v>
      </c>
      <c r="C943" t="s">
        <v>796</v>
      </c>
      <c r="D943" t="s">
        <v>797</v>
      </c>
      <c r="E943" t="s">
        <v>798</v>
      </c>
      <c r="F943" t="s">
        <v>12</v>
      </c>
      <c r="G943" s="4">
        <v>495.65</v>
      </c>
    </row>
    <row r="944" spans="1:7" x14ac:dyDescent="0.35">
      <c r="A944" t="s">
        <v>430</v>
      </c>
      <c r="B944" t="s">
        <v>73</v>
      </c>
      <c r="C944" t="s">
        <v>796</v>
      </c>
      <c r="D944" t="s">
        <v>797</v>
      </c>
      <c r="E944" t="s">
        <v>798</v>
      </c>
      <c r="F944" t="s">
        <v>12</v>
      </c>
      <c r="G944" s="4">
        <v>570.53</v>
      </c>
    </row>
    <row r="945" spans="1:7" x14ac:dyDescent="0.35">
      <c r="A945" t="s">
        <v>431</v>
      </c>
      <c r="B945" t="s">
        <v>376</v>
      </c>
      <c r="C945" t="s">
        <v>796</v>
      </c>
      <c r="D945" t="s">
        <v>797</v>
      </c>
      <c r="E945" t="s">
        <v>798</v>
      </c>
      <c r="F945" t="s">
        <v>12</v>
      </c>
      <c r="G945" s="4">
        <v>883.66</v>
      </c>
    </row>
    <row r="946" spans="1:7" x14ac:dyDescent="0.35">
      <c r="A946" t="s">
        <v>432</v>
      </c>
      <c r="B946" t="s">
        <v>433</v>
      </c>
      <c r="C946" t="s">
        <v>796</v>
      </c>
      <c r="D946" t="s">
        <v>797</v>
      </c>
      <c r="E946" t="s">
        <v>798</v>
      </c>
      <c r="F946" t="s">
        <v>12</v>
      </c>
      <c r="G946" s="4">
        <v>296.37</v>
      </c>
    </row>
    <row r="947" spans="1:7" x14ac:dyDescent="0.35">
      <c r="A947" t="s">
        <v>434</v>
      </c>
      <c r="B947" t="s">
        <v>81</v>
      </c>
      <c r="C947" t="s">
        <v>796</v>
      </c>
      <c r="D947" t="s">
        <v>797</v>
      </c>
      <c r="E947" t="s">
        <v>798</v>
      </c>
      <c r="F947" t="s">
        <v>12</v>
      </c>
      <c r="G947" s="4">
        <v>675.25</v>
      </c>
    </row>
    <row r="948" spans="1:7" x14ac:dyDescent="0.35">
      <c r="A948" t="s">
        <v>754</v>
      </c>
      <c r="B948" t="s">
        <v>40</v>
      </c>
      <c r="C948" t="s">
        <v>796</v>
      </c>
      <c r="D948" t="s">
        <v>797</v>
      </c>
      <c r="E948" t="s">
        <v>798</v>
      </c>
      <c r="F948" t="s">
        <v>12</v>
      </c>
      <c r="G948" s="4">
        <v>-263.58</v>
      </c>
    </row>
    <row r="949" spans="1:7" x14ac:dyDescent="0.35">
      <c r="A949" t="s">
        <v>435</v>
      </c>
      <c r="B949" t="s">
        <v>436</v>
      </c>
      <c r="C949" t="s">
        <v>796</v>
      </c>
      <c r="D949" t="s">
        <v>797</v>
      </c>
      <c r="E949" t="s">
        <v>798</v>
      </c>
      <c r="F949" t="s">
        <v>12</v>
      </c>
      <c r="G949" s="4">
        <v>562.27</v>
      </c>
    </row>
    <row r="950" spans="1:7" x14ac:dyDescent="0.35">
      <c r="A950" t="s">
        <v>755</v>
      </c>
      <c r="B950" t="s">
        <v>505</v>
      </c>
      <c r="C950" t="s">
        <v>796</v>
      </c>
      <c r="D950" t="s">
        <v>797</v>
      </c>
      <c r="E950" t="s">
        <v>798</v>
      </c>
      <c r="F950" t="s">
        <v>12</v>
      </c>
      <c r="G950" s="4">
        <v>-882.12</v>
      </c>
    </row>
    <row r="951" spans="1:7" x14ac:dyDescent="0.35">
      <c r="A951" t="s">
        <v>437</v>
      </c>
      <c r="B951" t="s">
        <v>438</v>
      </c>
      <c r="C951" t="s">
        <v>796</v>
      </c>
      <c r="D951" t="s">
        <v>797</v>
      </c>
      <c r="E951" t="s">
        <v>798</v>
      </c>
      <c r="F951" t="s">
        <v>12</v>
      </c>
      <c r="G951" s="4">
        <v>822.98</v>
      </c>
    </row>
    <row r="952" spans="1:7" x14ac:dyDescent="0.35">
      <c r="A952" t="s">
        <v>439</v>
      </c>
      <c r="B952" t="s">
        <v>440</v>
      </c>
      <c r="C952" t="s">
        <v>796</v>
      </c>
      <c r="D952" t="s">
        <v>797</v>
      </c>
      <c r="E952" t="s">
        <v>798</v>
      </c>
      <c r="F952" t="s">
        <v>12</v>
      </c>
      <c r="G952" s="4">
        <v>828.72</v>
      </c>
    </row>
    <row r="953" spans="1:7" x14ac:dyDescent="0.35">
      <c r="A953" t="s">
        <v>756</v>
      </c>
      <c r="B953" t="s">
        <v>91</v>
      </c>
      <c r="C953" t="s">
        <v>796</v>
      </c>
      <c r="D953" t="s">
        <v>797</v>
      </c>
      <c r="E953" t="s">
        <v>798</v>
      </c>
      <c r="F953" t="s">
        <v>12</v>
      </c>
      <c r="G953" s="4">
        <v>-441.66</v>
      </c>
    </row>
    <row r="954" spans="1:7" x14ac:dyDescent="0.35">
      <c r="A954" t="s">
        <v>757</v>
      </c>
      <c r="B954" t="s">
        <v>151</v>
      </c>
      <c r="C954" t="s">
        <v>796</v>
      </c>
      <c r="D954" t="s">
        <v>797</v>
      </c>
      <c r="E954" t="s">
        <v>798</v>
      </c>
      <c r="F954" t="s">
        <v>12</v>
      </c>
      <c r="G954" s="4">
        <v>-706.56</v>
      </c>
    </row>
    <row r="955" spans="1:7" x14ac:dyDescent="0.35">
      <c r="A955" t="s">
        <v>441</v>
      </c>
      <c r="B955" t="s">
        <v>49</v>
      </c>
      <c r="C955" t="s">
        <v>796</v>
      </c>
      <c r="D955" t="s">
        <v>797</v>
      </c>
      <c r="E955" t="s">
        <v>798</v>
      </c>
      <c r="F955" t="s">
        <v>12</v>
      </c>
      <c r="G955" s="4">
        <v>215.94</v>
      </c>
    </row>
    <row r="956" spans="1:7" x14ac:dyDescent="0.35">
      <c r="A956" t="s">
        <v>758</v>
      </c>
      <c r="B956" t="s">
        <v>166</v>
      </c>
      <c r="C956" t="s">
        <v>796</v>
      </c>
      <c r="D956" t="s">
        <v>797</v>
      </c>
      <c r="E956" t="s">
        <v>798</v>
      </c>
      <c r="F956" t="s">
        <v>12</v>
      </c>
      <c r="G956" s="4">
        <v>-879.67</v>
      </c>
    </row>
    <row r="957" spans="1:7" x14ac:dyDescent="0.35">
      <c r="A957" t="s">
        <v>759</v>
      </c>
      <c r="B957" t="s">
        <v>760</v>
      </c>
      <c r="C957" t="s">
        <v>796</v>
      </c>
      <c r="D957" t="s">
        <v>797</v>
      </c>
      <c r="E957" t="s">
        <v>798</v>
      </c>
      <c r="F957" t="s">
        <v>12</v>
      </c>
      <c r="G957" s="4">
        <v>-124.85</v>
      </c>
    </row>
    <row r="958" spans="1:7" x14ac:dyDescent="0.35">
      <c r="A958" t="s">
        <v>442</v>
      </c>
      <c r="B958" t="s">
        <v>443</v>
      </c>
      <c r="C958" t="s">
        <v>796</v>
      </c>
      <c r="D958" t="s">
        <v>797</v>
      </c>
      <c r="E958" t="s">
        <v>798</v>
      </c>
      <c r="F958" t="s">
        <v>12</v>
      </c>
      <c r="G958" s="4">
        <v>537</v>
      </c>
    </row>
    <row r="959" spans="1:7" x14ac:dyDescent="0.35">
      <c r="A959" t="s">
        <v>761</v>
      </c>
      <c r="B959" t="s">
        <v>624</v>
      </c>
      <c r="C959" t="s">
        <v>796</v>
      </c>
      <c r="D959" t="s">
        <v>797</v>
      </c>
      <c r="E959" t="s">
        <v>798</v>
      </c>
      <c r="F959" t="s">
        <v>12</v>
      </c>
      <c r="G959" s="4">
        <v>-897.21</v>
      </c>
    </row>
    <row r="960" spans="1:7" x14ac:dyDescent="0.35">
      <c r="A960" t="s">
        <v>762</v>
      </c>
      <c r="B960" t="s">
        <v>763</v>
      </c>
      <c r="C960" t="s">
        <v>796</v>
      </c>
      <c r="D960" t="s">
        <v>797</v>
      </c>
      <c r="E960" t="s">
        <v>798</v>
      </c>
      <c r="F960" t="s">
        <v>12</v>
      </c>
      <c r="G960" s="4">
        <v>-249.52</v>
      </c>
    </row>
    <row r="961" spans="1:7" x14ac:dyDescent="0.35">
      <c r="A961" t="s">
        <v>444</v>
      </c>
      <c r="B961" t="s">
        <v>445</v>
      </c>
      <c r="C961" t="s">
        <v>796</v>
      </c>
      <c r="D961" t="s">
        <v>797</v>
      </c>
      <c r="E961" t="s">
        <v>798</v>
      </c>
      <c r="F961" t="s">
        <v>12</v>
      </c>
      <c r="G961" s="4">
        <v>525.34</v>
      </c>
    </row>
    <row r="962" spans="1:7" x14ac:dyDescent="0.35">
      <c r="A962" t="s">
        <v>764</v>
      </c>
      <c r="B962" t="s">
        <v>288</v>
      </c>
      <c r="C962" t="s">
        <v>796</v>
      </c>
      <c r="D962" t="s">
        <v>797</v>
      </c>
      <c r="E962" t="s">
        <v>798</v>
      </c>
      <c r="F962" t="s">
        <v>12</v>
      </c>
      <c r="G962" s="4">
        <v>-345.23</v>
      </c>
    </row>
    <row r="963" spans="1:7" x14ac:dyDescent="0.35">
      <c r="A963" t="s">
        <v>765</v>
      </c>
      <c r="B963" t="s">
        <v>498</v>
      </c>
      <c r="C963" t="s">
        <v>796</v>
      </c>
      <c r="D963" t="s">
        <v>797</v>
      </c>
      <c r="E963" t="s">
        <v>798</v>
      </c>
      <c r="F963" t="s">
        <v>12</v>
      </c>
      <c r="G963" s="4">
        <v>-500.51</v>
      </c>
    </row>
    <row r="964" spans="1:7" x14ac:dyDescent="0.35">
      <c r="A964" t="s">
        <v>766</v>
      </c>
      <c r="B964" t="s">
        <v>71</v>
      </c>
      <c r="C964" t="s">
        <v>796</v>
      </c>
      <c r="D964" t="s">
        <v>797</v>
      </c>
      <c r="E964" t="s">
        <v>798</v>
      </c>
      <c r="F964" t="s">
        <v>12</v>
      </c>
      <c r="G964" s="4">
        <v>-446.45</v>
      </c>
    </row>
    <row r="965" spans="1:7" x14ac:dyDescent="0.35">
      <c r="A965" t="s">
        <v>446</v>
      </c>
      <c r="B965" t="s">
        <v>447</v>
      </c>
      <c r="C965" t="s">
        <v>796</v>
      </c>
      <c r="D965" t="s">
        <v>797</v>
      </c>
      <c r="E965" t="s">
        <v>798</v>
      </c>
      <c r="F965" t="s">
        <v>12</v>
      </c>
      <c r="G965" s="4">
        <v>309.70999999999998</v>
      </c>
    </row>
    <row r="966" spans="1:7" x14ac:dyDescent="0.35">
      <c r="A966" t="s">
        <v>767</v>
      </c>
      <c r="B966" t="s">
        <v>180</v>
      </c>
      <c r="C966" t="s">
        <v>796</v>
      </c>
      <c r="D966" t="s">
        <v>797</v>
      </c>
      <c r="E966" t="s">
        <v>798</v>
      </c>
      <c r="F966" t="s">
        <v>12</v>
      </c>
      <c r="G966" s="4">
        <v>-793.95</v>
      </c>
    </row>
    <row r="967" spans="1:7" x14ac:dyDescent="0.35">
      <c r="A967" t="s">
        <v>768</v>
      </c>
      <c r="B967" t="s">
        <v>520</v>
      </c>
      <c r="C967" t="s">
        <v>796</v>
      </c>
      <c r="D967" t="s">
        <v>797</v>
      </c>
      <c r="E967" t="s">
        <v>798</v>
      </c>
      <c r="F967" t="s">
        <v>12</v>
      </c>
      <c r="G967" s="4">
        <v>-527.79</v>
      </c>
    </row>
    <row r="968" spans="1:7" x14ac:dyDescent="0.35">
      <c r="A968" t="s">
        <v>448</v>
      </c>
      <c r="B968" t="s">
        <v>449</v>
      </c>
      <c r="C968" t="s">
        <v>796</v>
      </c>
      <c r="D968" t="s">
        <v>797</v>
      </c>
      <c r="E968" t="s">
        <v>798</v>
      </c>
      <c r="F968" t="s">
        <v>12</v>
      </c>
      <c r="G968" s="4">
        <v>425.25</v>
      </c>
    </row>
    <row r="969" spans="1:7" x14ac:dyDescent="0.35">
      <c r="A969" t="s">
        <v>769</v>
      </c>
      <c r="B969" t="s">
        <v>565</v>
      </c>
      <c r="C969" t="s">
        <v>796</v>
      </c>
      <c r="D969" t="s">
        <v>797</v>
      </c>
      <c r="E969" t="s">
        <v>798</v>
      </c>
      <c r="F969" t="s">
        <v>12</v>
      </c>
      <c r="G969" s="4">
        <v>-614.89</v>
      </c>
    </row>
    <row r="970" spans="1:7" x14ac:dyDescent="0.35">
      <c r="A970" t="s">
        <v>450</v>
      </c>
      <c r="B970" t="s">
        <v>191</v>
      </c>
      <c r="C970" t="s">
        <v>796</v>
      </c>
      <c r="D970" t="s">
        <v>797</v>
      </c>
      <c r="E970" t="s">
        <v>798</v>
      </c>
      <c r="F970" t="s">
        <v>12</v>
      </c>
      <c r="G970" s="4">
        <v>856.47</v>
      </c>
    </row>
    <row r="971" spans="1:7" x14ac:dyDescent="0.35">
      <c r="A971" t="s">
        <v>451</v>
      </c>
      <c r="B971" t="s">
        <v>213</v>
      </c>
      <c r="C971" t="s">
        <v>796</v>
      </c>
      <c r="D971" t="s">
        <v>797</v>
      </c>
      <c r="E971" t="s">
        <v>798</v>
      </c>
      <c r="F971" t="s">
        <v>12</v>
      </c>
      <c r="G971" s="4">
        <v>496.1</v>
      </c>
    </row>
    <row r="972" spans="1:7" x14ac:dyDescent="0.35">
      <c r="A972" t="s">
        <v>452</v>
      </c>
      <c r="B972" t="s">
        <v>453</v>
      </c>
      <c r="C972" t="s">
        <v>796</v>
      </c>
      <c r="D972" t="s">
        <v>797</v>
      </c>
      <c r="E972" t="s">
        <v>798</v>
      </c>
      <c r="F972" t="s">
        <v>12</v>
      </c>
      <c r="G972" s="4">
        <v>787.28</v>
      </c>
    </row>
    <row r="973" spans="1:7" x14ac:dyDescent="0.35">
      <c r="A973" t="s">
        <v>454</v>
      </c>
      <c r="B973" t="s">
        <v>455</v>
      </c>
      <c r="C973" t="s">
        <v>796</v>
      </c>
      <c r="D973" t="s">
        <v>797</v>
      </c>
      <c r="E973" t="s">
        <v>798</v>
      </c>
      <c r="F973" t="s">
        <v>12</v>
      </c>
      <c r="G973" s="4">
        <v>958.31</v>
      </c>
    </row>
    <row r="974" spans="1:7" x14ac:dyDescent="0.35">
      <c r="A974" t="s">
        <v>770</v>
      </c>
      <c r="B974" t="s">
        <v>771</v>
      </c>
      <c r="C974" t="s">
        <v>796</v>
      </c>
      <c r="D974" t="s">
        <v>797</v>
      </c>
      <c r="E974" t="s">
        <v>798</v>
      </c>
      <c r="F974" t="s">
        <v>12</v>
      </c>
      <c r="G974" s="4">
        <v>-252.83</v>
      </c>
    </row>
    <row r="975" spans="1:7" x14ac:dyDescent="0.35">
      <c r="A975" t="s">
        <v>772</v>
      </c>
      <c r="B975" t="s">
        <v>200</v>
      </c>
      <c r="C975" t="s">
        <v>796</v>
      </c>
      <c r="D975" t="s">
        <v>797</v>
      </c>
      <c r="E975" t="s">
        <v>798</v>
      </c>
      <c r="F975" t="s">
        <v>12</v>
      </c>
      <c r="G975" s="4">
        <v>-288.57</v>
      </c>
    </row>
    <row r="976" spans="1:7" x14ac:dyDescent="0.35">
      <c r="A976" t="s">
        <v>773</v>
      </c>
      <c r="B976" t="s">
        <v>334</v>
      </c>
      <c r="C976" t="s">
        <v>796</v>
      </c>
      <c r="D976" t="s">
        <v>797</v>
      </c>
      <c r="E976" t="s">
        <v>798</v>
      </c>
      <c r="F976" t="s">
        <v>12</v>
      </c>
      <c r="G976" s="4">
        <v>-955.59</v>
      </c>
    </row>
    <row r="977" spans="1:7" x14ac:dyDescent="0.35">
      <c r="A977" t="s">
        <v>456</v>
      </c>
      <c r="B977" t="s">
        <v>457</v>
      </c>
      <c r="C977" t="s">
        <v>796</v>
      </c>
      <c r="D977" t="s">
        <v>797</v>
      </c>
      <c r="E977" t="s">
        <v>798</v>
      </c>
      <c r="F977" t="s">
        <v>12</v>
      </c>
      <c r="G977" s="4">
        <v>278.88</v>
      </c>
    </row>
    <row r="978" spans="1:7" x14ac:dyDescent="0.35">
      <c r="A978" t="s">
        <v>458</v>
      </c>
      <c r="B978" t="s">
        <v>459</v>
      </c>
      <c r="C978" t="s">
        <v>796</v>
      </c>
      <c r="D978" t="s">
        <v>797</v>
      </c>
      <c r="E978" t="s">
        <v>798</v>
      </c>
      <c r="F978" t="s">
        <v>12</v>
      </c>
      <c r="G978" s="4">
        <v>961.67</v>
      </c>
    </row>
    <row r="979" spans="1:7" x14ac:dyDescent="0.35">
      <c r="A979" t="s">
        <v>774</v>
      </c>
      <c r="B979" t="s">
        <v>775</v>
      </c>
      <c r="C979" t="s">
        <v>796</v>
      </c>
      <c r="D979" t="s">
        <v>797</v>
      </c>
      <c r="E979" t="s">
        <v>798</v>
      </c>
      <c r="F979" t="s">
        <v>12</v>
      </c>
      <c r="G979" s="4">
        <v>-349.04</v>
      </c>
    </row>
    <row r="980" spans="1:7" x14ac:dyDescent="0.35">
      <c r="A980" t="s">
        <v>460</v>
      </c>
      <c r="B980" t="s">
        <v>202</v>
      </c>
      <c r="C980" t="s">
        <v>796</v>
      </c>
      <c r="D980" t="s">
        <v>797</v>
      </c>
      <c r="E980" t="s">
        <v>798</v>
      </c>
      <c r="F980" t="s">
        <v>12</v>
      </c>
      <c r="G980" s="4">
        <v>448.52</v>
      </c>
    </row>
    <row r="981" spans="1:7" x14ac:dyDescent="0.35">
      <c r="A981" t="s">
        <v>776</v>
      </c>
      <c r="B981" t="s">
        <v>413</v>
      </c>
      <c r="C981" t="s">
        <v>796</v>
      </c>
      <c r="D981" t="s">
        <v>797</v>
      </c>
      <c r="E981" t="s">
        <v>798</v>
      </c>
      <c r="F981" t="s">
        <v>12</v>
      </c>
      <c r="G981" s="4">
        <v>-176.35</v>
      </c>
    </row>
    <row r="982" spans="1:7" x14ac:dyDescent="0.35">
      <c r="A982" t="s">
        <v>777</v>
      </c>
      <c r="B982" t="s">
        <v>428</v>
      </c>
      <c r="C982" t="s">
        <v>796</v>
      </c>
      <c r="D982" t="s">
        <v>797</v>
      </c>
      <c r="E982" t="s">
        <v>798</v>
      </c>
      <c r="F982" t="s">
        <v>12</v>
      </c>
      <c r="G982" s="4">
        <v>-445.7</v>
      </c>
    </row>
    <row r="983" spans="1:7" x14ac:dyDescent="0.35">
      <c r="A983" t="s">
        <v>461</v>
      </c>
      <c r="B983" t="s">
        <v>336</v>
      </c>
      <c r="C983" t="s">
        <v>796</v>
      </c>
      <c r="D983" t="s">
        <v>797</v>
      </c>
      <c r="E983" t="s">
        <v>798</v>
      </c>
      <c r="F983" t="s">
        <v>12</v>
      </c>
      <c r="G983" s="4">
        <v>712.25</v>
      </c>
    </row>
    <row r="984" spans="1:7" x14ac:dyDescent="0.35">
      <c r="A984" t="s">
        <v>778</v>
      </c>
      <c r="B984" t="s">
        <v>779</v>
      </c>
      <c r="C984" t="s">
        <v>796</v>
      </c>
      <c r="D984" t="s">
        <v>797</v>
      </c>
      <c r="E984" t="s">
        <v>798</v>
      </c>
      <c r="F984" t="s">
        <v>12</v>
      </c>
      <c r="G984" s="4">
        <v>-771.66</v>
      </c>
    </row>
    <row r="985" spans="1:7" x14ac:dyDescent="0.35">
      <c r="A985" t="s">
        <v>780</v>
      </c>
      <c r="B985" t="s">
        <v>143</v>
      </c>
      <c r="C985" t="s">
        <v>796</v>
      </c>
      <c r="D985" t="s">
        <v>797</v>
      </c>
      <c r="E985" t="s">
        <v>798</v>
      </c>
      <c r="F985" t="s">
        <v>12</v>
      </c>
      <c r="G985" s="4">
        <v>-141.11000000000001</v>
      </c>
    </row>
    <row r="986" spans="1:7" x14ac:dyDescent="0.35">
      <c r="A986" t="s">
        <v>781</v>
      </c>
      <c r="B986" t="s">
        <v>782</v>
      </c>
      <c r="C986" t="s">
        <v>796</v>
      </c>
      <c r="D986" t="s">
        <v>797</v>
      </c>
      <c r="E986" t="s">
        <v>798</v>
      </c>
      <c r="F986" t="s">
        <v>12</v>
      </c>
      <c r="G986" s="4">
        <v>-779.11</v>
      </c>
    </row>
    <row r="987" spans="1:7" x14ac:dyDescent="0.35">
      <c r="A987" t="s">
        <v>462</v>
      </c>
      <c r="B987" t="s">
        <v>463</v>
      </c>
      <c r="C987" t="s">
        <v>796</v>
      </c>
      <c r="D987" t="s">
        <v>797</v>
      </c>
      <c r="E987" t="s">
        <v>798</v>
      </c>
      <c r="F987" t="s">
        <v>12</v>
      </c>
      <c r="G987" s="4">
        <v>339.57</v>
      </c>
    </row>
    <row r="988" spans="1:7" x14ac:dyDescent="0.35">
      <c r="A988" t="s">
        <v>783</v>
      </c>
      <c r="B988" t="s">
        <v>336</v>
      </c>
      <c r="C988" t="s">
        <v>796</v>
      </c>
      <c r="D988" t="s">
        <v>797</v>
      </c>
      <c r="E988" t="s">
        <v>798</v>
      </c>
      <c r="F988" t="s">
        <v>12</v>
      </c>
      <c r="G988" s="4">
        <v>-784.15</v>
      </c>
    </row>
    <row r="989" spans="1:7" x14ac:dyDescent="0.35">
      <c r="A989" t="s">
        <v>464</v>
      </c>
      <c r="B989" t="s">
        <v>147</v>
      </c>
      <c r="C989" t="s">
        <v>796</v>
      </c>
      <c r="D989" t="s">
        <v>797</v>
      </c>
      <c r="E989" t="s">
        <v>798</v>
      </c>
      <c r="F989" t="s">
        <v>12</v>
      </c>
      <c r="G989" s="4">
        <v>669.11</v>
      </c>
    </row>
    <row r="990" spans="1:7" x14ac:dyDescent="0.35">
      <c r="A990" t="s">
        <v>465</v>
      </c>
      <c r="B990" t="s">
        <v>466</v>
      </c>
      <c r="C990" t="s">
        <v>796</v>
      </c>
      <c r="D990" t="s">
        <v>797</v>
      </c>
      <c r="E990" t="s">
        <v>798</v>
      </c>
      <c r="F990" t="s">
        <v>12</v>
      </c>
      <c r="G990" s="4">
        <v>996.8</v>
      </c>
    </row>
    <row r="991" spans="1:7" x14ac:dyDescent="0.35">
      <c r="A991" t="s">
        <v>467</v>
      </c>
      <c r="B991" t="s">
        <v>468</v>
      </c>
      <c r="C991" t="s">
        <v>796</v>
      </c>
      <c r="D991" t="s">
        <v>797</v>
      </c>
      <c r="E991" t="s">
        <v>798</v>
      </c>
      <c r="F991" t="s">
        <v>12</v>
      </c>
      <c r="G991" s="4">
        <v>773.65</v>
      </c>
    </row>
    <row r="992" spans="1:7" x14ac:dyDescent="0.35">
      <c r="A992" t="s">
        <v>469</v>
      </c>
      <c r="B992" t="s">
        <v>470</v>
      </c>
      <c r="C992" t="s">
        <v>796</v>
      </c>
      <c r="D992" t="s">
        <v>797</v>
      </c>
      <c r="E992" t="s">
        <v>798</v>
      </c>
      <c r="F992" t="s">
        <v>12</v>
      </c>
      <c r="G992" s="4">
        <v>371.43</v>
      </c>
    </row>
    <row r="993" spans="1:7" x14ac:dyDescent="0.35">
      <c r="A993" t="s">
        <v>784</v>
      </c>
      <c r="B993" t="s">
        <v>574</v>
      </c>
      <c r="C993" t="s">
        <v>796</v>
      </c>
      <c r="D993" t="s">
        <v>797</v>
      </c>
      <c r="E993" t="s">
        <v>798</v>
      </c>
      <c r="F993" t="s">
        <v>12</v>
      </c>
      <c r="G993" s="4">
        <v>-490.01</v>
      </c>
    </row>
    <row r="994" spans="1:7" x14ac:dyDescent="0.35">
      <c r="A994" t="s">
        <v>471</v>
      </c>
      <c r="B994" t="s">
        <v>472</v>
      </c>
      <c r="C994" t="s">
        <v>796</v>
      </c>
      <c r="D994" t="s">
        <v>797</v>
      </c>
      <c r="E994" t="s">
        <v>798</v>
      </c>
      <c r="F994" t="s">
        <v>12</v>
      </c>
      <c r="G994" s="4">
        <v>395.49</v>
      </c>
    </row>
    <row r="995" spans="1:7" x14ac:dyDescent="0.35">
      <c r="A995" t="s">
        <v>473</v>
      </c>
      <c r="B995" t="s">
        <v>474</v>
      </c>
      <c r="C995" t="s">
        <v>796</v>
      </c>
      <c r="D995" t="s">
        <v>797</v>
      </c>
      <c r="E995" t="s">
        <v>798</v>
      </c>
      <c r="F995" t="s">
        <v>12</v>
      </c>
      <c r="G995" s="4">
        <v>258.75</v>
      </c>
    </row>
    <row r="996" spans="1:7" x14ac:dyDescent="0.35">
      <c r="A996" t="s">
        <v>785</v>
      </c>
      <c r="B996" t="s">
        <v>498</v>
      </c>
      <c r="C996" t="s">
        <v>796</v>
      </c>
      <c r="D996" t="s">
        <v>797</v>
      </c>
      <c r="E996" t="s">
        <v>798</v>
      </c>
      <c r="F996" t="s">
        <v>12</v>
      </c>
      <c r="G996" s="4">
        <v>-285.19</v>
      </c>
    </row>
    <row r="997" spans="1:7" x14ac:dyDescent="0.35">
      <c r="A997" t="s">
        <v>475</v>
      </c>
      <c r="B997" t="s">
        <v>476</v>
      </c>
      <c r="C997" t="s">
        <v>796</v>
      </c>
      <c r="D997" t="s">
        <v>797</v>
      </c>
      <c r="E997" t="s">
        <v>798</v>
      </c>
      <c r="F997" t="s">
        <v>12</v>
      </c>
      <c r="G997" s="4">
        <v>387.33</v>
      </c>
    </row>
    <row r="998" spans="1:7" x14ac:dyDescent="0.35">
      <c r="A998" t="s">
        <v>786</v>
      </c>
      <c r="B998" t="s">
        <v>787</v>
      </c>
      <c r="C998" t="s">
        <v>796</v>
      </c>
      <c r="D998" t="s">
        <v>797</v>
      </c>
      <c r="E998" t="s">
        <v>798</v>
      </c>
      <c r="F998" t="s">
        <v>12</v>
      </c>
      <c r="G998" s="4">
        <v>-142.35</v>
      </c>
    </row>
    <row r="999" spans="1:7" x14ac:dyDescent="0.35">
      <c r="A999" t="s">
        <v>477</v>
      </c>
      <c r="B999" t="s">
        <v>478</v>
      </c>
      <c r="C999" t="s">
        <v>796</v>
      </c>
      <c r="D999" t="s">
        <v>797</v>
      </c>
      <c r="E999" t="s">
        <v>798</v>
      </c>
      <c r="F999" t="s">
        <v>12</v>
      </c>
      <c r="G999" s="4">
        <v>565.54999999999995</v>
      </c>
    </row>
    <row r="1000" spans="1:7" x14ac:dyDescent="0.35">
      <c r="A1000" t="s">
        <v>788</v>
      </c>
      <c r="B1000" t="s">
        <v>345</v>
      </c>
      <c r="C1000" t="s">
        <v>796</v>
      </c>
      <c r="D1000" t="s">
        <v>797</v>
      </c>
      <c r="E1000" t="s">
        <v>798</v>
      </c>
      <c r="F1000" t="s">
        <v>12</v>
      </c>
      <c r="G1000" s="4">
        <v>-585.41</v>
      </c>
    </row>
    <row r="1001" spans="1:7" x14ac:dyDescent="0.35">
      <c r="A1001" t="s">
        <v>789</v>
      </c>
      <c r="B1001" t="s">
        <v>790</v>
      </c>
      <c r="C1001" t="s">
        <v>796</v>
      </c>
      <c r="D1001" t="s">
        <v>797</v>
      </c>
      <c r="E1001" t="s">
        <v>798</v>
      </c>
      <c r="F1001" t="s">
        <v>12</v>
      </c>
      <c r="G1001" s="4">
        <v>-563.99</v>
      </c>
    </row>
    <row r="1003" spans="1:7" x14ac:dyDescent="0.35">
      <c r="G1003" s="4">
        <f>SUM(G2:G1001)</f>
        <v>2.3794655135134235E-10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21FF7-4D42-4A6B-8055-2A8F5DF808F5}">
  <dimension ref="B5:C10"/>
  <sheetViews>
    <sheetView workbookViewId="0">
      <selection activeCell="B58" sqref="B58"/>
    </sheetView>
  </sheetViews>
  <sheetFormatPr defaultRowHeight="14.5" x14ac:dyDescent="0.35"/>
  <cols>
    <col min="2" max="2" width="26.7265625" bestFit="1" customWidth="1"/>
    <col min="3" max="3" width="11.08984375" style="5" bestFit="1" customWidth="1"/>
  </cols>
  <sheetData>
    <row r="5" spans="2:3" x14ac:dyDescent="0.35">
      <c r="B5" t="s">
        <v>795</v>
      </c>
    </row>
    <row r="6" spans="2:3" x14ac:dyDescent="0.35">
      <c r="B6" t="s">
        <v>794</v>
      </c>
      <c r="C6" s="5">
        <f>-GETPIVOTDATA("AmountGHS",CALCS_TrialBalance!$A$3,"AccountName","Sales Revenue")</f>
        <v>271890.03999999986</v>
      </c>
    </row>
    <row r="7" spans="2:3" x14ac:dyDescent="0.35">
      <c r="B7" t="s">
        <v>802</v>
      </c>
      <c r="C7" s="5">
        <f>SUM(C6)</f>
        <v>271890.03999999986</v>
      </c>
    </row>
    <row r="8" spans="2:3" x14ac:dyDescent="0.35">
      <c r="B8" t="s">
        <v>803</v>
      </c>
      <c r="C8" s="5">
        <f>C7-GETPIVOTDATA("AmountGHS",CALCS_TrialBalance!$A$3,"AccountName","Cost of Goods Sold")</f>
        <v>80839.889999999898</v>
      </c>
    </row>
    <row r="9" spans="2:3" x14ac:dyDescent="0.35">
      <c r="B9" t="s">
        <v>655</v>
      </c>
      <c r="C9" s="5">
        <f>GETPIVOTDATA("AmountGHS",CALCS_TrialBalance!$A$3,"AccountName","Operating Expenses")</f>
        <v>59201.710000000021</v>
      </c>
    </row>
    <row r="10" spans="2:3" x14ac:dyDescent="0.35">
      <c r="B10" t="s">
        <v>804</v>
      </c>
      <c r="C10" s="5">
        <f>C8-GETPIVOTDATA("AmountGHS",CALCS_TrialBalance!$A$3,"AccountName","Operating Expenses")</f>
        <v>21638.179999999877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AFB4F-65A3-461F-ADEB-7311ADC62900}">
  <dimension ref="B5:C21"/>
  <sheetViews>
    <sheetView tabSelected="1" workbookViewId="0">
      <selection activeCell="C23" sqref="C23"/>
    </sheetView>
  </sheetViews>
  <sheetFormatPr defaultRowHeight="14.5" x14ac:dyDescent="0.35"/>
  <cols>
    <col min="2" max="2" width="37.6328125" bestFit="1" customWidth="1"/>
    <col min="3" max="3" width="11.08984375" style="5" bestFit="1" customWidth="1"/>
  </cols>
  <sheetData>
    <row r="5" spans="2:3" x14ac:dyDescent="0.35">
      <c r="B5" t="s">
        <v>805</v>
      </c>
    </row>
    <row r="6" spans="2:3" x14ac:dyDescent="0.35">
      <c r="B6" t="s">
        <v>343</v>
      </c>
      <c r="C6" s="5">
        <f>GETPIVOTDATA("AmountGHS",CALCS_TrialBalance!$A$3,"AccountName","Cash &amp; Equivalents")</f>
        <v>233551.22000000009</v>
      </c>
    </row>
    <row r="7" spans="2:3" x14ac:dyDescent="0.35">
      <c r="B7" t="s">
        <v>806</v>
      </c>
      <c r="C7" s="5">
        <f>GETPIVOTDATA("AmountGHS",CALCS_TrialBalance!$A$3,"AccountName","Accounts Receivable")</f>
        <v>-9462.1700000000037</v>
      </c>
    </row>
    <row r="8" spans="2:3" x14ac:dyDescent="0.35">
      <c r="B8" t="s">
        <v>807</v>
      </c>
      <c r="C8" s="5">
        <f>GETPIVOTDATA("AmountGHS",CALCS_TrialBalance!$A$3,"AccountName","Inventory")</f>
        <v>-191050.14999999997</v>
      </c>
    </row>
    <row r="9" spans="2:3" x14ac:dyDescent="0.35">
      <c r="B9" t="s">
        <v>808</v>
      </c>
      <c r="C9" s="5">
        <f>SUM(C6:C8)</f>
        <v>33038.900000000111</v>
      </c>
    </row>
    <row r="11" spans="2:3" x14ac:dyDescent="0.35">
      <c r="B11" t="s">
        <v>809</v>
      </c>
    </row>
    <row r="12" spans="2:3" x14ac:dyDescent="0.35">
      <c r="B12" t="s">
        <v>797</v>
      </c>
      <c r="C12" s="5">
        <f>-GETPIVOTDATA("AmountGHS",CALCS_TrialBalance!$A$3,"AccountName","Accounts Payable")</f>
        <v>11400.720000000005</v>
      </c>
    </row>
    <row r="13" spans="2:3" x14ac:dyDescent="0.35">
      <c r="B13" t="s">
        <v>810</v>
      </c>
      <c r="C13" s="5">
        <f>SUM(C12)</f>
        <v>11400.720000000005</v>
      </c>
    </row>
    <row r="15" spans="2:3" x14ac:dyDescent="0.35">
      <c r="B15" t="s">
        <v>811</v>
      </c>
    </row>
    <row r="16" spans="2:3" x14ac:dyDescent="0.35">
      <c r="B16" t="s">
        <v>812</v>
      </c>
      <c r="C16" s="5">
        <v>0</v>
      </c>
    </row>
    <row r="17" spans="2:3" x14ac:dyDescent="0.35">
      <c r="B17" t="s">
        <v>813</v>
      </c>
      <c r="C17" s="5">
        <f>OUTPUT_IS!C10</f>
        <v>21638.179999999877</v>
      </c>
    </row>
    <row r="18" spans="2:3" x14ac:dyDescent="0.35">
      <c r="B18" t="s">
        <v>814</v>
      </c>
      <c r="C18" s="5">
        <f>-C16+C17</f>
        <v>21638.179999999877</v>
      </c>
    </row>
    <row r="19" spans="2:3" x14ac:dyDescent="0.35">
      <c r="B19" t="s">
        <v>815</v>
      </c>
      <c r="C19" s="5">
        <f>C13+C16+C17</f>
        <v>33038.899999999878</v>
      </c>
    </row>
    <row r="21" spans="2:3" x14ac:dyDescent="0.35">
      <c r="B21" t="s">
        <v>816</v>
      </c>
      <c r="C21" s="5">
        <f>C9-C19</f>
        <v>2.3283064365386963E-10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CALCS_TrialBalance</vt:lpstr>
      <vt:lpstr>DATA_SQL</vt:lpstr>
      <vt:lpstr>OUTPUT_IS</vt:lpstr>
      <vt:lpstr>OUTPUT_BS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Botchway</dc:creator>
  <cp:lastModifiedBy>Gilbert Botchway</cp:lastModifiedBy>
  <dcterms:created xsi:type="dcterms:W3CDTF">2025-12-29T08:58:34Z</dcterms:created>
  <dcterms:modified xsi:type="dcterms:W3CDTF">2025-12-29T21:37:39Z</dcterms:modified>
</cp:coreProperties>
</file>